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. Maestro Productos" sheetId="2" state="visible" r:id="rId2"/>
    <sheet xmlns:r="http://schemas.openxmlformats.org/officeDocument/2006/relationships" name="2. Historial LY (año pasado)" sheetId="3" state="visible" r:id="rId3"/>
    <sheet xmlns:r="http://schemas.openxmlformats.org/officeDocument/2006/relationships" name="3. Ventas Recientes (4 sem)" sheetId="4" state="visible" r:id="rId4"/>
    <sheet xmlns:r="http://schemas.openxmlformats.org/officeDocument/2006/relationships" name="4. Stock 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color rgb="00666666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CAPI — Plantilla de Input v2</t>
        </is>
      </c>
    </row>
    <row r="2">
      <c r="A2" s="2" t="inlineStr">
        <is>
          <t>Generada desde Base Profundidad Ripley al 30/08/2026</t>
        </is>
      </c>
    </row>
    <row r="3"/>
    <row r="4">
      <c r="A4" s="3" t="inlineStr">
        <is>
          <t>TAB 1 — MAESTRO: Completo desde Profundidad. Edad, precios y costo incluidos.</t>
        </is>
      </c>
    </row>
    <row r="5">
      <c r="A5" s="3" t="inlineStr">
        <is>
          <t>TAB 2 — HISTORIAL LY: Vacía. Llenar con transformar_ripley.py si tienes data LY.</t>
        </is>
      </c>
    </row>
    <row r="6">
      <c r="A6" s="3" t="inlineStr">
        <is>
          <t>TAB 3 — VENTAS RECIENTES: Completo. Sem 1 real por tienda, Sem 2-4 distribuidas proporcionalmente.</t>
        </is>
      </c>
    </row>
    <row r="7">
      <c r="A7" s="3" t="inlineStr">
        <is>
          <t>TAB 4 — STOCK ACTUAL: Completo. Stock y On Order por tienda.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X30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8" customWidth="1" min="4" max="4"/>
    <col width="22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  <col width="14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2" customWidth="1" min="18" max="18"/>
    <col width="12" customWidth="1" min="19" max="19"/>
    <col width="12" customWidth="1" min="20" max="20"/>
    <col width="10" customWidth="1" min="21" max="21"/>
    <col width="14" customWidth="1" min="22" max="22"/>
    <col width="14" customWidth="1" min="23" max="23"/>
    <col width="12" customWidth="1" min="24" max="24"/>
  </cols>
  <sheetData>
    <row r="1">
      <c r="A1" s="1" t="inlineStr">
        <is>
          <t>MAESTRO DE PRODUCTOS — Una fila por SKU</t>
        </is>
      </c>
    </row>
    <row r="2">
      <c r="A2" s="4" t="inlineStr">
        <is>
          <t>SKU
Código Producto</t>
        </is>
      </c>
      <c r="B2" s="4" t="inlineStr">
        <is>
          <t>Nombre
Producto</t>
        </is>
      </c>
      <c r="C2" s="4" t="inlineStr">
        <is>
          <t>Marca</t>
        </is>
      </c>
      <c r="D2" s="4" t="inlineStr">
        <is>
          <t>Categoría /
Línea</t>
        </is>
      </c>
      <c r="E2" s="4" t="inlineStr">
        <is>
          <t>Departamento</t>
        </is>
      </c>
      <c r="F2" s="4" t="inlineStr">
        <is>
          <t>Edad
(Semanas)</t>
        </is>
      </c>
      <c r="G2" s="4" t="inlineStr">
        <is>
          <t>Precio
Blanco (S/)</t>
        </is>
      </c>
      <c r="H2" s="4" t="inlineStr">
        <is>
          <t>Precio
Vigente (S/)</t>
        </is>
      </c>
      <c r="I2" s="4" t="inlineStr">
        <is>
          <t>Costo
Unitario (S/)</t>
        </is>
      </c>
      <c r="J2" s="4" t="inlineStr">
        <is>
          <t>Temporada</t>
        </is>
      </c>
      <c r="K2" s="4" t="inlineStr">
        <is>
          <t>Rango
Antigüedad</t>
        </is>
      </c>
      <c r="L2" s="4" t="inlineStr">
        <is>
          <t>Stock CD
(Unidades)</t>
        </is>
      </c>
      <c r="M2" s="4" t="inlineStr">
        <is>
          <t>Vta Sem1
(uds total)</t>
        </is>
      </c>
      <c r="N2" s="4" t="inlineStr">
        <is>
          <t>Vta Sem2
(uds total)</t>
        </is>
      </c>
      <c r="O2" s="4" t="inlineStr">
        <is>
          <t>Vta Sem3
(uds total)</t>
        </is>
      </c>
      <c r="P2" s="4" t="inlineStr">
        <is>
          <t>Vta Sem4
(uds total)</t>
        </is>
      </c>
      <c r="Q2" s="4" t="inlineStr">
        <is>
          <t>Notas</t>
        </is>
      </c>
      <c r="R2" s="5" t="inlineStr">
        <is>
          <t>% Descuento
Actual</t>
        </is>
      </c>
      <c r="S2" s="5" t="inlineStr">
        <is>
          <t>IMU%
(Margen Inicial)</t>
        </is>
      </c>
      <c r="T2" s="5" t="inlineStr">
        <is>
          <t>Margen
Vigente %</t>
        </is>
      </c>
      <c r="U2" s="4" t="inlineStr">
        <is>
          <t>Ventana
Compra</t>
        </is>
      </c>
      <c r="V2" s="4" t="inlineStr">
        <is>
          <t>Vta S/
4 sem</t>
        </is>
      </c>
      <c r="W2" s="4" t="inlineStr">
        <is>
          <t>Contrib S/
4 sem</t>
        </is>
      </c>
      <c r="X2" s="4" t="inlineStr">
        <is>
          <t>Margen
Efectivo %</t>
        </is>
      </c>
    </row>
    <row r="3">
      <c r="A3" t="inlineStr">
        <is>
          <t>17990444</t>
        </is>
      </c>
      <c r="B3" t="inlineStr">
        <is>
          <t>PRODUCTO 86683A</t>
        </is>
      </c>
      <c r="C3" t="inlineStr">
        <is>
          <t>NAVIGATA</t>
        </is>
      </c>
      <c r="D3" t="inlineStr">
        <is>
          <t>PANTALONES</t>
        </is>
      </c>
      <c r="E3" t="inlineStr">
        <is>
          <t>NAVIGATA HOMBRE</t>
        </is>
      </c>
      <c r="F3" t="n">
        <v>1</v>
      </c>
      <c r="G3" t="n">
        <v>129.9</v>
      </c>
      <c r="H3" t="n">
        <v>99.95</v>
      </c>
      <c r="I3" t="n">
        <v>36.95</v>
      </c>
      <c r="J3" t="inlineStr">
        <is>
          <t>TT</t>
        </is>
      </c>
      <c r="K3" t="inlineStr">
        <is>
          <t>RANGO 0_3</t>
        </is>
      </c>
      <c r="L3" t="n">
        <v>1</v>
      </c>
      <c r="M3" t="n">
        <v>23</v>
      </c>
      <c r="N3" t="n">
        <v>19</v>
      </c>
      <c r="O3" t="n">
        <v>11</v>
      </c>
      <c r="P3" t="n">
        <v>11</v>
      </c>
      <c r="R3">
        <f>IF(G4&gt;0,1-H4/G4,"")</f>
        <v/>
      </c>
      <c r="S3">
        <f>IF(G4&gt;0,(G4/1.18-I4)/(G4/1.18),"")</f>
        <v/>
      </c>
      <c r="T3">
        <f>IF(H4&gt;0,(H4/1.18-I4)/(H4/1.18),"")</f>
        <v/>
      </c>
      <c r="U3" t="inlineStr">
        <is>
          <t>NOOS</t>
        </is>
      </c>
      <c r="V3" t="n">
        <v>2656.66</v>
      </c>
      <c r="W3" t="n">
        <v>314.14</v>
      </c>
      <c r="X3" t="n">
        <v>0.1182</v>
      </c>
    </row>
    <row r="4">
      <c r="A4" t="inlineStr">
        <is>
          <t>22405600</t>
        </is>
      </c>
      <c r="B4" t="inlineStr">
        <is>
          <t>PRODUCTO 2B7637</t>
        </is>
      </c>
      <c r="C4" t="inlineStr">
        <is>
          <t>VAN HEUSEN</t>
        </is>
      </c>
      <c r="D4" t="inlineStr">
        <is>
          <t>PANTALONES</t>
        </is>
      </c>
      <c r="E4" t="inlineStr">
        <is>
          <t>MARCAS CASUAL NACIONAL HOMBRE</t>
        </is>
      </c>
      <c r="F4" t="n">
        <v>288</v>
      </c>
      <c r="G4" t="n">
        <v>139</v>
      </c>
      <c r="H4" t="n">
        <v>41.7</v>
      </c>
      <c r="I4" t="n">
        <v>82.61</v>
      </c>
      <c r="J4" t="inlineStr">
        <is>
          <t>TT</t>
        </is>
      </c>
      <c r="K4" t="inlineStr">
        <is>
          <t>RANGO 12_99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R4">
        <f>IF(G10&gt;0,1-H10/G10,"")</f>
        <v/>
      </c>
      <c r="S4">
        <f>IF(G10&gt;0,(G10/1.18-I10)/(G10/1.18),"")</f>
        <v/>
      </c>
      <c r="T4">
        <f>IF(H10&gt;0,(H10/1.18-I10)/(H10/1.18),"")</f>
        <v/>
      </c>
      <c r="U4" t="inlineStr">
        <is>
          <t>NOOS</t>
        </is>
      </c>
      <c r="V4" t="n">
        <v>0</v>
      </c>
      <c r="W4" t="n">
        <v>0</v>
      </c>
    </row>
    <row r="5">
      <c r="A5" t="inlineStr">
        <is>
          <t>22459631</t>
        </is>
      </c>
      <c r="B5" t="inlineStr">
        <is>
          <t>PRODUCTO 2B3D15</t>
        </is>
      </c>
      <c r="C5" t="inlineStr">
        <is>
          <t>NAVIGATA</t>
        </is>
      </c>
      <c r="D5" t="inlineStr">
        <is>
          <t>PANTALONES</t>
        </is>
      </c>
      <c r="E5" t="inlineStr">
        <is>
          <t>NAVIGATA HOMBRE</t>
        </is>
      </c>
      <c r="F5" t="n">
        <v>224</v>
      </c>
      <c r="G5" t="n">
        <v>199.9</v>
      </c>
      <c r="H5" t="n">
        <v>19.99</v>
      </c>
      <c r="I5" t="n">
        <v>38.5</v>
      </c>
      <c r="J5" t="inlineStr">
        <is>
          <t>TT</t>
        </is>
      </c>
      <c r="K5" t="inlineStr">
        <is>
          <t>RANGO 12_99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R5">
        <f>IF(G12&gt;0,1-H12/G12,"")</f>
        <v/>
      </c>
      <c r="S5">
        <f>IF(G12&gt;0,(G12/1.18-I12)/(G12/1.18),"")</f>
        <v/>
      </c>
      <c r="T5">
        <f>IF(H12&gt;0,(H12/1.18-I12)/(H12/1.18),"")</f>
        <v/>
      </c>
      <c r="U5" t="inlineStr">
        <is>
          <t>NOOS</t>
        </is>
      </c>
      <c r="V5" t="n">
        <v>0</v>
      </c>
      <c r="W5" t="n">
        <v>0</v>
      </c>
    </row>
    <row r="6">
      <c r="A6" t="inlineStr">
        <is>
          <t>23567874</t>
        </is>
      </c>
      <c r="B6" t="inlineStr">
        <is>
          <t>PRODUCTO C7F38C</t>
        </is>
      </c>
      <c r="C6" t="inlineStr">
        <is>
          <t>ARROW</t>
        </is>
      </c>
      <c r="D6" t="inlineStr">
        <is>
          <t>PANTALONES</t>
        </is>
      </c>
      <c r="E6" t="inlineStr">
        <is>
          <t>MARCAS CASUAL NACIONAL HOMBRE</t>
        </is>
      </c>
      <c r="F6" t="n">
        <v>297</v>
      </c>
      <c r="G6" t="n">
        <v>159</v>
      </c>
      <c r="H6" t="n">
        <v>47.7</v>
      </c>
      <c r="I6" t="n">
        <v>92.61</v>
      </c>
      <c r="J6" t="inlineStr">
        <is>
          <t>TT</t>
        </is>
      </c>
      <c r="K6" t="inlineStr">
        <is>
          <t>RANGO 12_99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>
        <f>IF(G14&gt;0,1-H14/G14,"")</f>
        <v/>
      </c>
      <c r="S6">
        <f>IF(G14&gt;0,(G14/1.18-I14)/(G14/1.18),"")</f>
        <v/>
      </c>
      <c r="T6">
        <f>IF(H14&gt;0,(H14/1.18-I14)/(H14/1.18),"")</f>
        <v/>
      </c>
      <c r="U6" t="inlineStr">
        <is>
          <t>NOOS</t>
        </is>
      </c>
      <c r="V6" t="n">
        <v>0</v>
      </c>
      <c r="W6" t="n">
        <v>0</v>
      </c>
    </row>
    <row r="7">
      <c r="A7" t="inlineStr">
        <is>
          <t>25975095</t>
        </is>
      </c>
      <c r="B7" t="inlineStr">
        <is>
          <t>PRODUCTO 755182</t>
        </is>
      </c>
      <c r="C7" t="inlineStr">
        <is>
          <t>MARQUIS</t>
        </is>
      </c>
      <c r="D7" t="inlineStr">
        <is>
          <t>PANTALONES</t>
        </is>
      </c>
      <c r="E7" t="inlineStr">
        <is>
          <t>MARQUIS HOMBRE</t>
        </is>
      </c>
      <c r="F7" t="n">
        <v>1</v>
      </c>
      <c r="G7" t="n">
        <v>169.9</v>
      </c>
      <c r="H7" t="n">
        <v>29.99</v>
      </c>
      <c r="I7" t="n">
        <v>37.03</v>
      </c>
      <c r="J7" t="inlineStr">
        <is>
          <t>TT</t>
        </is>
      </c>
      <c r="K7" t="inlineStr">
        <is>
          <t>RANGO 0_3</t>
        </is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R7">
        <f>IF(G24&gt;0,1-H24/G24,"")</f>
        <v/>
      </c>
      <c r="S7">
        <f>IF(G24&gt;0,(G24/1.18-I24)/(G24/1.18),"")</f>
        <v/>
      </c>
      <c r="T7">
        <f>IF(H24&gt;0,(H24/1.18-I24)/(H24/1.18),"")</f>
        <v/>
      </c>
      <c r="U7" t="inlineStr">
        <is>
          <t>NOOS</t>
        </is>
      </c>
      <c r="V7" t="n">
        <v>25.42</v>
      </c>
      <c r="W7" t="n">
        <v>-11.49</v>
      </c>
      <c r="X7" t="n">
        <v>-0.452</v>
      </c>
    </row>
    <row r="8">
      <c r="A8" t="inlineStr">
        <is>
          <t>26667022</t>
        </is>
      </c>
      <c r="B8" t="inlineStr">
        <is>
          <t>PRODUCTO 22F28B</t>
        </is>
      </c>
      <c r="C8" t="inlineStr">
        <is>
          <t>CACHAREL</t>
        </is>
      </c>
      <c r="D8" t="inlineStr">
        <is>
          <t>PANTALONES</t>
        </is>
      </c>
      <c r="E8" t="inlineStr">
        <is>
          <t>CACHAREL HOMBRE</t>
        </is>
      </c>
      <c r="F8" t="n">
        <v>43</v>
      </c>
      <c r="G8" t="n">
        <v>149.99</v>
      </c>
      <c r="H8" t="n">
        <v>99.98999999999999</v>
      </c>
      <c r="I8" t="n">
        <v>37.6</v>
      </c>
      <c r="J8" t="inlineStr">
        <is>
          <t>TT</t>
        </is>
      </c>
      <c r="K8" t="inlineStr">
        <is>
          <t>RANGO 9_12</t>
        </is>
      </c>
      <c r="L8" t="n">
        <v>1</v>
      </c>
      <c r="M8" t="n">
        <v>9</v>
      </c>
      <c r="N8" t="n">
        <v>6</v>
      </c>
      <c r="O8" t="n">
        <v>0</v>
      </c>
      <c r="P8" t="n">
        <v>5</v>
      </c>
      <c r="R8">
        <f>IF(G27&gt;0,1-H27/G27,"")</f>
        <v/>
      </c>
      <c r="S8">
        <f>IF(G27&gt;0,(G27/1.18-I27)/(G27/1.18),"")</f>
        <v/>
      </c>
      <c r="T8">
        <f>IF(H27&gt;0,(H27/1.18-I27)/(H27/1.18),"")</f>
        <v/>
      </c>
      <c r="U8" t="inlineStr">
        <is>
          <t>B</t>
        </is>
      </c>
      <c r="V8" t="n">
        <v>1606.34</v>
      </c>
      <c r="W8" t="n">
        <v>856.78</v>
      </c>
      <c r="X8" t="n">
        <v>0.5334</v>
      </c>
    </row>
    <row r="9">
      <c r="A9" t="inlineStr">
        <is>
          <t>27737834</t>
        </is>
      </c>
      <c r="B9" t="inlineStr">
        <is>
          <t>PRODUCTO E9CEA3</t>
        </is>
      </c>
      <c r="C9" t="inlineStr">
        <is>
          <t>MARQUIS</t>
        </is>
      </c>
      <c r="D9" t="inlineStr">
        <is>
          <t>JEANS</t>
        </is>
      </c>
      <c r="E9" t="inlineStr">
        <is>
          <t>MARQUIS HOMBRE</t>
        </is>
      </c>
      <c r="F9" t="n">
        <v>0</v>
      </c>
      <c r="G9" t="n">
        <v>199.9</v>
      </c>
      <c r="H9" t="n">
        <v>39.98</v>
      </c>
      <c r="I9" t="n">
        <v>39.12</v>
      </c>
      <c r="J9" t="inlineStr">
        <is>
          <t>OI</t>
        </is>
      </c>
      <c r="K9" t="inlineStr">
        <is>
          <t>RANGO 0_3</t>
        </is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R9">
        <f>IF(G42&gt;0,1-H42/G42,"")</f>
        <v/>
      </c>
      <c r="S9">
        <f>IF(G42&gt;0,(G42/1.18-I42)/(G42/1.18),"")</f>
        <v/>
      </c>
      <c r="T9">
        <f>IF(H42&gt;0,(H42/1.18-I42)/(H42/1.18),"")</f>
        <v/>
      </c>
      <c r="U9" t="inlineStr">
        <is>
          <t>NOOS</t>
        </is>
      </c>
      <c r="V9" t="n">
        <v>33.81</v>
      </c>
      <c r="W9" t="n">
        <v>-5.31</v>
      </c>
      <c r="X9" t="n">
        <v>-0.1571</v>
      </c>
    </row>
    <row r="10">
      <c r="A10" t="inlineStr">
        <is>
          <t>27828983</t>
        </is>
      </c>
      <c r="B10" t="inlineStr">
        <is>
          <t>PRODUCTO B6F4F4</t>
        </is>
      </c>
      <c r="C10" t="inlineStr">
        <is>
          <t>MARQUIS</t>
        </is>
      </c>
      <c r="D10" t="inlineStr">
        <is>
          <t>ACCESORIOS</t>
        </is>
      </c>
      <c r="E10" t="inlineStr">
        <is>
          <t>MARQUIS HOMBRE</t>
        </is>
      </c>
      <c r="F10" t="n">
        <v>107</v>
      </c>
      <c r="G10" t="n">
        <v>79.95</v>
      </c>
      <c r="H10" t="n">
        <v>79.95</v>
      </c>
      <c r="I10" t="n">
        <v>37.26</v>
      </c>
      <c r="J10" t="inlineStr">
        <is>
          <t>TT</t>
        </is>
      </c>
      <c r="K10" t="inlineStr">
        <is>
          <t>RANGO 12_99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R10">
        <f>IF(G44&gt;0,1-H44/G44,"")</f>
        <v/>
      </c>
      <c r="S10">
        <f>IF(G44&gt;0,(G44/1.18-I44)/(G44/1.18),"")</f>
        <v/>
      </c>
      <c r="T10">
        <f>IF(H44&gt;0,(H44/1.18-I44)/(H44/1.18),"")</f>
        <v/>
      </c>
      <c r="U10" t="inlineStr">
        <is>
          <t>NOOS</t>
        </is>
      </c>
      <c r="V10" t="n">
        <v>0</v>
      </c>
      <c r="W10" t="n">
        <v>0</v>
      </c>
    </row>
    <row r="11">
      <c r="A11" t="inlineStr">
        <is>
          <t>27828988</t>
        </is>
      </c>
      <c r="B11" t="inlineStr">
        <is>
          <t>PRODUCTO ABDF16</t>
        </is>
      </c>
      <c r="C11" t="inlineStr">
        <is>
          <t>MARQUIS</t>
        </is>
      </c>
      <c r="D11" t="inlineStr">
        <is>
          <t>ACCESORIOS</t>
        </is>
      </c>
      <c r="E11" t="inlineStr">
        <is>
          <t>MARQUIS HOMBRE</t>
        </is>
      </c>
      <c r="F11" t="n">
        <v>107</v>
      </c>
      <c r="G11" t="n">
        <v>79.95</v>
      </c>
      <c r="H11" t="n">
        <v>79.95</v>
      </c>
      <c r="I11" t="n">
        <v>37.26</v>
      </c>
      <c r="J11" t="inlineStr">
        <is>
          <t>TT</t>
        </is>
      </c>
      <c r="K11" t="inlineStr">
        <is>
          <t>RANGO 12_99</t>
        </is>
      </c>
      <c r="L11" t="n">
        <v>0</v>
      </c>
      <c r="M11" t="n">
        <v>-1</v>
      </c>
      <c r="N11" t="n">
        <v>0</v>
      </c>
      <c r="O11" t="n">
        <v>0</v>
      </c>
      <c r="P11" t="n">
        <v>1</v>
      </c>
      <c r="R11">
        <f>IF(G45&gt;0,1-H45/G45,"")</f>
        <v/>
      </c>
      <c r="S11">
        <f>IF(G45&gt;0,(G45/1.18-I45)/(G45/1.18),"")</f>
        <v/>
      </c>
      <c r="T11">
        <f>IF(H45&gt;0,(H45/1.18-I45)/(H45/1.18),"")</f>
        <v/>
      </c>
      <c r="U11" t="inlineStr">
        <is>
          <t>NOOS</t>
        </is>
      </c>
      <c r="V11" t="n">
        <v>0</v>
      </c>
      <c r="W11" t="n">
        <v>0</v>
      </c>
    </row>
    <row r="12">
      <c r="A12" t="inlineStr">
        <is>
          <t>27829019</t>
        </is>
      </c>
      <c r="B12" t="inlineStr">
        <is>
          <t>PRODUCTO 1D0BB6</t>
        </is>
      </c>
      <c r="C12" t="inlineStr">
        <is>
          <t>MARQUIS</t>
        </is>
      </c>
      <c r="D12" t="inlineStr">
        <is>
          <t>ACCESORIOS</t>
        </is>
      </c>
      <c r="E12" t="inlineStr">
        <is>
          <t>MARQUIS HOMBRE</t>
        </is>
      </c>
      <c r="F12" t="n">
        <v>236</v>
      </c>
      <c r="G12" t="n">
        <v>79.95</v>
      </c>
      <c r="H12" t="n">
        <v>39.99</v>
      </c>
      <c r="I12" t="n">
        <v>37.26</v>
      </c>
      <c r="J12" t="inlineStr">
        <is>
          <t>TT</t>
        </is>
      </c>
      <c r="K12" t="inlineStr">
        <is>
          <t>RANGO 12_99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R12">
        <f>IF(G51&gt;0,1-H51/G51,"")</f>
        <v/>
      </c>
      <c r="S12">
        <f>IF(G51&gt;0,(G51/1.18-I51)/(G51/1.18),"")</f>
        <v/>
      </c>
      <c r="T12">
        <f>IF(H51&gt;0,(H51/1.18-I51)/(H51/1.18),"")</f>
        <v/>
      </c>
      <c r="U12" t="inlineStr">
        <is>
          <t>NOOS</t>
        </is>
      </c>
      <c r="V12" t="n">
        <v>0</v>
      </c>
      <c r="W12" t="n">
        <v>0</v>
      </c>
    </row>
    <row r="13">
      <c r="A13" t="inlineStr">
        <is>
          <t>28943467</t>
        </is>
      </c>
      <c r="B13" t="inlineStr">
        <is>
          <t>PRODUCTO 6ADAFE</t>
        </is>
      </c>
      <c r="C13" t="inlineStr">
        <is>
          <t>DOCKERS</t>
        </is>
      </c>
      <c r="D13" t="inlineStr">
        <is>
          <t>PANTALONES</t>
        </is>
      </c>
      <c r="E13" t="inlineStr">
        <is>
          <t>MARCAS CASUAL NACIONAL HOMBRE</t>
        </is>
      </c>
      <c r="F13" t="n">
        <v>14</v>
      </c>
      <c r="G13" t="n">
        <v>249</v>
      </c>
      <c r="H13" t="n">
        <v>249</v>
      </c>
      <c r="I13" t="n">
        <v>126.61</v>
      </c>
      <c r="J13" t="inlineStr">
        <is>
          <t>TT</t>
        </is>
      </c>
      <c r="K13" t="inlineStr">
        <is>
          <t>RANGO 3_6</t>
        </is>
      </c>
      <c r="L13" t="n">
        <v>18</v>
      </c>
      <c r="M13" t="n">
        <v>5</v>
      </c>
      <c r="N13" t="n">
        <v>6</v>
      </c>
      <c r="O13" t="n">
        <v>4</v>
      </c>
      <c r="P13" t="n">
        <v>7</v>
      </c>
      <c r="R13">
        <f>IF(G66&gt;0,1-H66/G66,"")</f>
        <v/>
      </c>
      <c r="S13">
        <f>IF(G66&gt;0,(G66/1.18-I66)/(G66/1.18),"")</f>
        <v/>
      </c>
      <c r="T13">
        <f>IF(H66&gt;0,(H66/1.18-I66)/(H66/1.18),"")</f>
        <v/>
      </c>
      <c r="U13" t="inlineStr">
        <is>
          <t>NOOS</t>
        </is>
      </c>
      <c r="V13" t="n">
        <v>4515.74</v>
      </c>
      <c r="W13" t="n">
        <v>1730.32</v>
      </c>
      <c r="X13" t="n">
        <v>0.3832</v>
      </c>
    </row>
    <row r="14">
      <c r="A14" t="inlineStr">
        <is>
          <t>28943525</t>
        </is>
      </c>
      <c r="B14" t="inlineStr">
        <is>
          <t>PRODUCTO 88AFE1</t>
        </is>
      </c>
      <c r="C14" t="inlineStr">
        <is>
          <t>DOCKERS</t>
        </is>
      </c>
      <c r="D14" t="inlineStr">
        <is>
          <t>PANTALONES</t>
        </is>
      </c>
      <c r="E14" t="inlineStr">
        <is>
          <t>MARCAS CASUAL NACIONAL HOMBRE</t>
        </is>
      </c>
      <c r="F14" t="n">
        <v>14</v>
      </c>
      <c r="G14" t="n">
        <v>249</v>
      </c>
      <c r="H14" t="n">
        <v>249</v>
      </c>
      <c r="I14" t="n">
        <v>126.61</v>
      </c>
      <c r="J14" t="inlineStr">
        <is>
          <t>TT</t>
        </is>
      </c>
      <c r="K14" t="inlineStr">
        <is>
          <t>RANGO 3_6</t>
        </is>
      </c>
      <c r="L14" t="n">
        <v>18</v>
      </c>
      <c r="M14" t="n">
        <v>6</v>
      </c>
      <c r="N14" t="n">
        <v>5</v>
      </c>
      <c r="O14" t="n">
        <v>3</v>
      </c>
      <c r="P14" t="n">
        <v>5</v>
      </c>
      <c r="R14">
        <f>IF(G67&gt;0,1-H67/G67,"")</f>
        <v/>
      </c>
      <c r="S14">
        <f>IF(G67&gt;0,(G67/1.18-I67)/(G67/1.18),"")</f>
        <v/>
      </c>
      <c r="T14">
        <f>IF(H67&gt;0,(H67/1.18-I67)/(H67/1.18),"")</f>
        <v/>
      </c>
      <c r="U14" t="inlineStr">
        <is>
          <t>NOOS</t>
        </is>
      </c>
      <c r="V14" t="n">
        <v>3743.8</v>
      </c>
      <c r="W14" t="n">
        <v>1338.21</v>
      </c>
      <c r="X14" t="n">
        <v>0.3574</v>
      </c>
    </row>
    <row r="15">
      <c r="A15" t="inlineStr">
        <is>
          <t>29256019</t>
        </is>
      </c>
      <c r="B15" t="inlineStr">
        <is>
          <t>PRODUCTO 01E545</t>
        </is>
      </c>
      <c r="C15" t="inlineStr">
        <is>
          <t>MARQUIS</t>
        </is>
      </c>
      <c r="D15" t="inlineStr">
        <is>
          <t>ACCESORIOS</t>
        </is>
      </c>
      <c r="E15" t="inlineStr">
        <is>
          <t>MARQUIS HOMBRE</t>
        </is>
      </c>
      <c r="F15" t="n">
        <v>171</v>
      </c>
      <c r="G15" t="n">
        <v>79.90000000000001</v>
      </c>
      <c r="H15" t="n">
        <v>19.99</v>
      </c>
      <c r="I15" t="n">
        <v>37.26</v>
      </c>
      <c r="J15" t="inlineStr">
        <is>
          <t>TT</t>
        </is>
      </c>
      <c r="K15" t="inlineStr">
        <is>
          <t>RANGO 12_99</t>
        </is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R15">
        <f>IF(G70&gt;0,1-H70/G70,"")</f>
        <v/>
      </c>
      <c r="S15">
        <f>IF(G70&gt;0,(G70/1.18-I70)/(G70/1.18),"")</f>
        <v/>
      </c>
      <c r="T15">
        <f>IF(H70&gt;0,(H70/1.18-I70)/(H70/1.18),"")</f>
        <v/>
      </c>
      <c r="U15" t="inlineStr">
        <is>
          <t>NOOS</t>
        </is>
      </c>
      <c r="V15" t="n">
        <v>16.94</v>
      </c>
      <c r="W15" t="n">
        <v>7.63</v>
      </c>
      <c r="X15" t="n">
        <v>0.4504</v>
      </c>
    </row>
    <row r="16">
      <c r="A16" t="inlineStr">
        <is>
          <t>29574396</t>
        </is>
      </c>
      <c r="B16" t="inlineStr">
        <is>
          <t>PRODUCTO C05410</t>
        </is>
      </c>
      <c r="C16" t="inlineStr">
        <is>
          <t>CACHAREL</t>
        </is>
      </c>
      <c r="D16" t="inlineStr">
        <is>
          <t>PANTALONES</t>
        </is>
      </c>
      <c r="E16" t="inlineStr">
        <is>
          <t>CACHAREL HOMBRE</t>
        </is>
      </c>
      <c r="F16" t="n">
        <v>215</v>
      </c>
      <c r="G16" t="n">
        <v>169.99</v>
      </c>
      <c r="H16" t="n">
        <v>1.99</v>
      </c>
      <c r="I16" t="n">
        <v>39.8</v>
      </c>
      <c r="J16" t="inlineStr">
        <is>
          <t>TT</t>
        </is>
      </c>
      <c r="K16" t="inlineStr">
        <is>
          <t>RANGO 12_99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R16">
        <f>IF(G72&gt;0,1-H72/G72,"")</f>
        <v/>
      </c>
      <c r="S16">
        <f>IF(G72&gt;0,(G72/1.18-I72)/(G72/1.18),"")</f>
        <v/>
      </c>
      <c r="T16">
        <f>IF(H72&gt;0,(H72/1.18-I72)/(H72/1.18),"")</f>
        <v/>
      </c>
      <c r="U16" t="inlineStr">
        <is>
          <t>NOOS</t>
        </is>
      </c>
      <c r="V16" t="n">
        <v>0</v>
      </c>
      <c r="W16" t="n">
        <v>0</v>
      </c>
    </row>
    <row r="17">
      <c r="A17" t="inlineStr">
        <is>
          <t>29766576</t>
        </is>
      </c>
      <c r="B17" t="inlineStr">
        <is>
          <t>PRODUCTO 17D6C8</t>
        </is>
      </c>
      <c r="C17" t="inlineStr">
        <is>
          <t>CACHAREL</t>
        </is>
      </c>
      <c r="D17" t="inlineStr">
        <is>
          <t>POLOS M/C</t>
        </is>
      </c>
      <c r="E17" t="inlineStr">
        <is>
          <t>CACHAREL HOMBRE</t>
        </is>
      </c>
      <c r="F17" t="n">
        <v>190</v>
      </c>
      <c r="G17" t="n">
        <v>149.99</v>
      </c>
      <c r="H17" t="n">
        <v>1.99</v>
      </c>
      <c r="I17" t="n">
        <v>27.89</v>
      </c>
      <c r="J17" t="inlineStr">
        <is>
          <t>TT</t>
        </is>
      </c>
      <c r="K17" t="inlineStr">
        <is>
          <t>RANGO 12_99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R17">
        <f>IF(G76&gt;0,1-H76/G76,"")</f>
        <v/>
      </c>
      <c r="S17">
        <f>IF(G76&gt;0,(G76/1.18-I76)/(G76/1.18),"")</f>
        <v/>
      </c>
      <c r="T17">
        <f>IF(H76&gt;0,(H76/1.18-I76)/(H76/1.18),"")</f>
        <v/>
      </c>
      <c r="U17" t="inlineStr">
        <is>
          <t>NOOS</t>
        </is>
      </c>
      <c r="V17" t="n">
        <v>0</v>
      </c>
      <c r="W17" t="n">
        <v>0</v>
      </c>
    </row>
    <row r="18">
      <c r="A18" t="inlineStr">
        <is>
          <t>30321130</t>
        </is>
      </c>
      <c r="B18" t="inlineStr">
        <is>
          <t>PRODUCTO 1F35A4</t>
        </is>
      </c>
      <c r="C18" t="inlineStr">
        <is>
          <t>NAVIGATA</t>
        </is>
      </c>
      <c r="D18" t="inlineStr">
        <is>
          <t>POLOS M/C</t>
        </is>
      </c>
      <c r="E18" t="inlineStr">
        <is>
          <t>NAVIGATA HOMBRE</t>
        </is>
      </c>
      <c r="F18" t="n">
        <v>178</v>
      </c>
      <c r="G18" t="n">
        <v>99.98999999999999</v>
      </c>
      <c r="H18" t="n">
        <v>1.99</v>
      </c>
      <c r="I18" t="n">
        <v>20.77</v>
      </c>
      <c r="J18" t="inlineStr">
        <is>
          <t>TT</t>
        </is>
      </c>
      <c r="K18" t="inlineStr">
        <is>
          <t>RANGO 12_99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R18">
        <f>IF(G79&gt;0,1-H79/G79,"")</f>
        <v/>
      </c>
      <c r="S18">
        <f>IF(G79&gt;0,(G79/1.18-I79)/(G79/1.18),"")</f>
        <v/>
      </c>
      <c r="T18">
        <f>IF(H79&gt;0,(H79/1.18-I79)/(H79/1.18),"")</f>
        <v/>
      </c>
      <c r="U18" t="inlineStr">
        <is>
          <t>NOOS</t>
        </is>
      </c>
      <c r="V18" t="n">
        <v>0</v>
      </c>
      <c r="W18" t="n">
        <v>0</v>
      </c>
    </row>
    <row r="19">
      <c r="A19" t="inlineStr">
        <is>
          <t>30596506</t>
        </is>
      </c>
      <c r="B19" t="inlineStr">
        <is>
          <t>PRODUCTO 348026</t>
        </is>
      </c>
      <c r="C19" t="inlineStr">
        <is>
          <t>CACHAREL</t>
        </is>
      </c>
      <c r="D19" t="inlineStr">
        <is>
          <t>PANTALONES</t>
        </is>
      </c>
      <c r="E19" t="inlineStr">
        <is>
          <t>CACHAREL HOMBRE</t>
        </is>
      </c>
      <c r="F19" t="n">
        <v>160</v>
      </c>
      <c r="G19" t="n">
        <v>99.98999999999999</v>
      </c>
      <c r="H19" t="n">
        <v>19.99</v>
      </c>
      <c r="I19" t="n">
        <v>39</v>
      </c>
      <c r="J19" t="inlineStr">
        <is>
          <t>TT</t>
        </is>
      </c>
      <c r="K19" t="inlineStr">
        <is>
          <t>RANGO 12_99</t>
        </is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R19">
        <f>IF(G85&gt;0,1-H85/G85,"")</f>
        <v/>
      </c>
      <c r="S19">
        <f>IF(G85&gt;0,(G85/1.18-I85)/(G85/1.18),"")</f>
        <v/>
      </c>
      <c r="T19">
        <f>IF(H85&gt;0,(H85/1.18-I85)/(H85/1.18),"")</f>
        <v/>
      </c>
      <c r="U19" t="inlineStr">
        <is>
          <t>NOOS</t>
        </is>
      </c>
      <c r="V19" t="n">
        <v>65.91</v>
      </c>
      <c r="W19" t="n">
        <v>-90.09</v>
      </c>
      <c r="X19" t="n">
        <v>-1.3669</v>
      </c>
    </row>
    <row r="20">
      <c r="A20" t="inlineStr">
        <is>
          <t>30827521</t>
        </is>
      </c>
      <c r="B20" t="inlineStr">
        <is>
          <t>PRODUCTO D0A420</t>
        </is>
      </c>
      <c r="C20" t="inlineStr">
        <is>
          <t>CACHAREL</t>
        </is>
      </c>
      <c r="D20" t="inlineStr">
        <is>
          <t>ACCESORIOS</t>
        </is>
      </c>
      <c r="E20" t="inlineStr">
        <is>
          <t>CACHAREL HOMBRE</t>
        </is>
      </c>
      <c r="F20" t="n">
        <v>22</v>
      </c>
      <c r="G20" t="n">
        <v>79.90000000000001</v>
      </c>
      <c r="H20" t="n">
        <v>79.90000000000001</v>
      </c>
      <c r="I20" t="n">
        <v>37.24</v>
      </c>
      <c r="J20" t="inlineStr">
        <is>
          <t>TT</t>
        </is>
      </c>
      <c r="K20" t="inlineStr">
        <is>
          <t>RANGO 3_6</t>
        </is>
      </c>
      <c r="L20" t="n">
        <v>10</v>
      </c>
      <c r="M20" t="n">
        <v>10</v>
      </c>
      <c r="N20" t="n">
        <v>6</v>
      </c>
      <c r="O20" t="n">
        <v>5</v>
      </c>
      <c r="P20" t="n">
        <v>3</v>
      </c>
      <c r="R20">
        <f>IF(G90&gt;0,1-H90/G90,"")</f>
        <v/>
      </c>
      <c r="S20">
        <f>IF(G90&gt;0,(G90/1.18-I90)/(G90/1.18),"")</f>
        <v/>
      </c>
      <c r="T20">
        <f>IF(H90&gt;0,(H90/1.18-I90)/(H90/1.18),"")</f>
        <v/>
      </c>
      <c r="U20" t="inlineStr">
        <is>
          <t>NOOS</t>
        </is>
      </c>
      <c r="V20" t="n">
        <v>1365.05</v>
      </c>
      <c r="W20" t="n">
        <v>614.11</v>
      </c>
      <c r="X20" t="n">
        <v>0.4499</v>
      </c>
    </row>
    <row r="21">
      <c r="A21" t="inlineStr">
        <is>
          <t>30919521</t>
        </is>
      </c>
      <c r="B21" t="inlineStr">
        <is>
          <t>PRODUCTO C309D7</t>
        </is>
      </c>
      <c r="C21" t="inlineStr">
        <is>
          <t>CACHAREL</t>
        </is>
      </c>
      <c r="D21" t="inlineStr">
        <is>
          <t>POLOS M/C</t>
        </is>
      </c>
      <c r="E21" t="inlineStr">
        <is>
          <t>CACHAREL HOMBRE</t>
        </is>
      </c>
      <c r="F21" t="n">
        <v>156</v>
      </c>
      <c r="G21" t="n">
        <v>99.98999999999999</v>
      </c>
      <c r="H21" t="n">
        <v>9.99</v>
      </c>
      <c r="I21" t="n">
        <v>25.13</v>
      </c>
      <c r="J21" t="inlineStr">
        <is>
          <t>TT</t>
        </is>
      </c>
      <c r="K21" t="inlineStr">
        <is>
          <t>RANGO 12_99</t>
        </is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R21">
        <f>IF(G94&gt;0,1-H94/G94,"")</f>
        <v/>
      </c>
      <c r="S21">
        <f>IF(G94&gt;0,(G94/1.18-I94)/(G94/1.18),"")</f>
        <v/>
      </c>
      <c r="T21">
        <f>IF(H94&gt;0,(H94/1.18-I94)/(H94/1.18),"")</f>
        <v/>
      </c>
      <c r="U21" t="inlineStr">
        <is>
          <t>NOOS</t>
        </is>
      </c>
      <c r="V21" t="n">
        <v>16.94</v>
      </c>
      <c r="W21" t="n">
        <v>-33.41</v>
      </c>
      <c r="X21" t="n">
        <v>-1.9723</v>
      </c>
    </row>
    <row r="22">
      <c r="A22" t="inlineStr">
        <is>
          <t>31503012</t>
        </is>
      </c>
      <c r="B22" t="inlineStr">
        <is>
          <t>PRODUCTO 80ADF0</t>
        </is>
      </c>
      <c r="C22" t="inlineStr">
        <is>
          <t>SELECTED</t>
        </is>
      </c>
      <c r="D22" t="inlineStr">
        <is>
          <t>CHOMPAS</t>
        </is>
      </c>
      <c r="E22" t="inlineStr">
        <is>
          <t>MARCAS CASUAL INTERNACIONAL HOMBRE</t>
        </is>
      </c>
      <c r="F22" t="n">
        <v>161</v>
      </c>
      <c r="G22" t="n">
        <v>199.99</v>
      </c>
      <c r="H22" t="n">
        <v>9.99</v>
      </c>
      <c r="I22" t="n">
        <v>79.41</v>
      </c>
      <c r="J22" t="inlineStr">
        <is>
          <t>TT</t>
        </is>
      </c>
      <c r="K22" t="inlineStr">
        <is>
          <t>RANGO 12_99</t>
        </is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R22">
        <f>IF(G107&gt;0,1-H107/G107,"")</f>
        <v/>
      </c>
      <c r="S22">
        <f>IF(G107&gt;0,(G107/1.18-I107)/(G107/1.18),"")</f>
        <v/>
      </c>
      <c r="T22">
        <f>IF(H107&gt;0,(H107/1.18-I107)/(H107/1.18),"")</f>
        <v/>
      </c>
      <c r="U22" t="inlineStr">
        <is>
          <t>NOOS</t>
        </is>
      </c>
      <c r="V22" t="n">
        <v>16.94</v>
      </c>
      <c r="W22" t="n">
        <v>-62.47</v>
      </c>
      <c r="X22" t="n">
        <v>-3.6877</v>
      </c>
    </row>
    <row r="23">
      <c r="A23" t="inlineStr">
        <is>
          <t>31684401</t>
        </is>
      </c>
      <c r="B23" t="inlineStr">
        <is>
          <t>PRODUCTO 12B7E1</t>
        </is>
      </c>
      <c r="C23" t="inlineStr">
        <is>
          <t>DOCKERS</t>
        </is>
      </c>
      <c r="D23" t="inlineStr">
        <is>
          <t>PANTALONES</t>
        </is>
      </c>
      <c r="E23" t="inlineStr">
        <is>
          <t>MARCAS CASUAL NACIONAL HOMBRE</t>
        </is>
      </c>
      <c r="F23" t="n">
        <v>3</v>
      </c>
      <c r="G23" t="n">
        <v>219</v>
      </c>
      <c r="H23" t="n">
        <v>219</v>
      </c>
      <c r="I23" t="n">
        <v>110.97</v>
      </c>
      <c r="J23" t="inlineStr">
        <is>
          <t>TT</t>
        </is>
      </c>
      <c r="K23" t="inlineStr">
        <is>
          <t>RANGO 0_3</t>
        </is>
      </c>
      <c r="L23" t="n">
        <v>15</v>
      </c>
      <c r="M23" t="n">
        <v>9</v>
      </c>
      <c r="N23" t="n">
        <v>9</v>
      </c>
      <c r="O23" t="n">
        <v>7</v>
      </c>
      <c r="P23" t="n">
        <v>3</v>
      </c>
      <c r="R23">
        <f>IF(G117&gt;0,1-H117/G117,"")</f>
        <v/>
      </c>
      <c r="S23">
        <f>IF(G117&gt;0,(G117/1.18-I117)/(G117/1.18),"")</f>
        <v/>
      </c>
      <c r="T23">
        <f>IF(H117&gt;0,(H117/1.18-I117)/(H117/1.18),"")</f>
        <v/>
      </c>
      <c r="U23" t="inlineStr">
        <is>
          <t>NOOS</t>
        </is>
      </c>
      <c r="V23" t="n">
        <v>4728.02</v>
      </c>
      <c r="W23" t="n">
        <v>1618.2</v>
      </c>
      <c r="X23" t="n">
        <v>0.3423</v>
      </c>
    </row>
    <row r="24">
      <c r="A24" t="inlineStr">
        <is>
          <t>31684425</t>
        </is>
      </c>
      <c r="B24" t="inlineStr">
        <is>
          <t>PRODUCTO A4ECD1</t>
        </is>
      </c>
      <c r="C24" t="inlineStr">
        <is>
          <t>DOCKERS</t>
        </is>
      </c>
      <c r="D24" t="inlineStr">
        <is>
          <t>PANTALONES</t>
        </is>
      </c>
      <c r="E24" t="inlineStr">
        <is>
          <t>MARCAS CASUAL NACIONAL HOMBRE</t>
        </is>
      </c>
      <c r="F24" t="n">
        <v>3</v>
      </c>
      <c r="G24" t="n">
        <v>219</v>
      </c>
      <c r="H24" t="n">
        <v>219</v>
      </c>
      <c r="I24" t="n">
        <v>111.36</v>
      </c>
      <c r="J24" t="inlineStr">
        <is>
          <t>TT</t>
        </is>
      </c>
      <c r="K24" t="inlineStr">
        <is>
          <t>RANGO 0_3</t>
        </is>
      </c>
      <c r="L24" t="n">
        <v>14</v>
      </c>
      <c r="M24" t="n">
        <v>15</v>
      </c>
      <c r="N24" t="n">
        <v>6</v>
      </c>
      <c r="O24" t="n">
        <v>12</v>
      </c>
      <c r="P24" t="n">
        <v>10</v>
      </c>
      <c r="R24">
        <f>IF(G119&gt;0,1-H119/G119,"")</f>
        <v/>
      </c>
      <c r="S24">
        <f>IF(G119&gt;0,(G119/1.18-I119)/(G119/1.18),"")</f>
        <v/>
      </c>
      <c r="T24">
        <f>IF(H119&gt;0,(H119/1.18-I119)/(H119/1.18),"")</f>
        <v/>
      </c>
      <c r="U24" t="inlineStr">
        <is>
          <t>NOOS</t>
        </is>
      </c>
      <c r="V24" t="n">
        <v>7451.98</v>
      </c>
      <c r="W24" t="n">
        <v>2663.57</v>
      </c>
      <c r="X24" t="n">
        <v>0.3574</v>
      </c>
    </row>
    <row r="25">
      <c r="A25" t="inlineStr">
        <is>
          <t>31871513</t>
        </is>
      </c>
      <c r="B25" t="inlineStr">
        <is>
          <t>PRODUCTO EC369F</t>
        </is>
      </c>
      <c r="C25" t="inlineStr">
        <is>
          <t>CACHAREL</t>
        </is>
      </c>
      <c r="D25" t="inlineStr">
        <is>
          <t>POLOS M/C</t>
        </is>
      </c>
      <c r="E25" t="inlineStr">
        <is>
          <t>CACHAREL HOMBRE</t>
        </is>
      </c>
      <c r="F25" t="n">
        <v>119</v>
      </c>
      <c r="G25" t="n">
        <v>99.98999999999999</v>
      </c>
      <c r="H25" t="n">
        <v>9.99</v>
      </c>
      <c r="I25" t="n">
        <v>24.23</v>
      </c>
      <c r="J25" t="inlineStr">
        <is>
          <t>TT</t>
        </is>
      </c>
      <c r="K25" t="inlineStr">
        <is>
          <t>RANGO 12_99</t>
        </is>
      </c>
      <c r="L25" t="n">
        <v>0</v>
      </c>
      <c r="M25" t="n">
        <v>1</v>
      </c>
      <c r="N25" t="n">
        <v>0</v>
      </c>
      <c r="O25" t="n">
        <v>2</v>
      </c>
      <c r="P25" t="n">
        <v>6</v>
      </c>
      <c r="R25">
        <f>IF(G120&gt;0,1-H120/G120,"")</f>
        <v/>
      </c>
      <c r="S25">
        <f>IF(G120&gt;0,(G120/1.18-I120)/(G120/1.18),"")</f>
        <v/>
      </c>
      <c r="T25">
        <f>IF(H120&gt;0,(H120/1.18-I120)/(H120/1.18),"")</f>
        <v/>
      </c>
      <c r="U25" t="inlineStr">
        <is>
          <t>NOOS</t>
        </is>
      </c>
      <c r="V25" t="n">
        <v>76.16</v>
      </c>
      <c r="W25" t="n">
        <v>-141.53</v>
      </c>
      <c r="X25" t="n">
        <v>-1.8583</v>
      </c>
    </row>
    <row r="26">
      <c r="A26" t="inlineStr">
        <is>
          <t>32063121</t>
        </is>
      </c>
      <c r="B26" t="inlineStr">
        <is>
          <t>PRODUCTO AB2B54</t>
        </is>
      </c>
      <c r="C26" t="inlineStr">
        <is>
          <t>OSCAR DE LA RENTA</t>
        </is>
      </c>
      <c r="D26" t="inlineStr">
        <is>
          <t>POLOS M/C</t>
        </is>
      </c>
      <c r="E26" t="inlineStr">
        <is>
          <t>MARCAS CASUAL INTERNACIONAL HOMBRE</t>
        </is>
      </c>
      <c r="F26" t="n">
        <v>138</v>
      </c>
      <c r="G26" t="n">
        <v>129.99</v>
      </c>
      <c r="H26" t="n">
        <v>9.99</v>
      </c>
      <c r="I26" t="n">
        <v>40.44</v>
      </c>
      <c r="J26" t="inlineStr">
        <is>
          <t>TT</t>
        </is>
      </c>
      <c r="K26" t="inlineStr">
        <is>
          <t>RANGO 12_99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R26">
        <f>IF(G127&gt;0,1-H127/G127,"")</f>
        <v/>
      </c>
      <c r="S26">
        <f>IF(G127&gt;0,(G127/1.18-I127)/(G127/1.18),"")</f>
        <v/>
      </c>
      <c r="T26">
        <f>IF(H127&gt;0,(H127/1.18-I127)/(H127/1.18),"")</f>
        <v/>
      </c>
      <c r="U26" t="inlineStr">
        <is>
          <t>NOOS</t>
        </is>
      </c>
      <c r="V26" t="n">
        <v>0</v>
      </c>
      <c r="W26" t="n">
        <v>0</v>
      </c>
    </row>
    <row r="27">
      <c r="A27" t="inlineStr">
        <is>
          <t>32489459</t>
        </is>
      </c>
      <c r="B27" t="inlineStr">
        <is>
          <t>PRODUCTO 98D178</t>
        </is>
      </c>
      <c r="C27" t="inlineStr">
        <is>
          <t>PSYCHO BUNNY</t>
        </is>
      </c>
      <c r="D27" t="inlineStr">
        <is>
          <t>POLOS M/C</t>
        </is>
      </c>
      <c r="E27" t="inlineStr">
        <is>
          <t>MARCAS CASUAL INTERNACIONAL HOMBRE</t>
        </is>
      </c>
      <c r="F27" t="n">
        <v>140</v>
      </c>
      <c r="G27" t="n">
        <v>349.99</v>
      </c>
      <c r="H27" t="n">
        <v>29.99</v>
      </c>
      <c r="I27" t="n">
        <v>165.43</v>
      </c>
      <c r="J27" t="inlineStr">
        <is>
          <t>TT</t>
        </is>
      </c>
      <c r="K27" t="inlineStr">
        <is>
          <t>RANGO 12_99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R27">
        <f>IF(G135&gt;0,1-H135/G135,"")</f>
        <v/>
      </c>
      <c r="S27">
        <f>IF(G135&gt;0,(G135/1.18-I135)/(G135/1.18),"")</f>
        <v/>
      </c>
      <c r="T27">
        <f>IF(H135&gt;0,(H135/1.18-I135)/(H135/1.18),"")</f>
        <v/>
      </c>
      <c r="U27" t="inlineStr">
        <is>
          <t>NOOS</t>
        </is>
      </c>
      <c r="V27" t="n">
        <v>0</v>
      </c>
      <c r="W27" t="n">
        <v>0</v>
      </c>
    </row>
    <row r="28">
      <c r="A28" t="inlineStr">
        <is>
          <t>32489536</t>
        </is>
      </c>
      <c r="B28" t="inlineStr">
        <is>
          <t>PRODUCTO ECEFBC</t>
        </is>
      </c>
      <c r="C28" t="inlineStr">
        <is>
          <t>PSYCHO BUNNY</t>
        </is>
      </c>
      <c r="D28" t="inlineStr">
        <is>
          <t>POLOS M/C</t>
        </is>
      </c>
      <c r="E28" t="inlineStr">
        <is>
          <t>MARCAS CASUAL INTERNACIONAL HOMBRE</t>
        </is>
      </c>
      <c r="F28" t="n">
        <v>140</v>
      </c>
      <c r="G28" t="n">
        <v>189.99</v>
      </c>
      <c r="H28" t="n">
        <v>1.99</v>
      </c>
      <c r="I28" t="n">
        <v>88.12</v>
      </c>
      <c r="J28" t="inlineStr">
        <is>
          <t>TT</t>
        </is>
      </c>
      <c r="K28" t="inlineStr">
        <is>
          <t>RANGO 12_99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R28">
        <f>IF(G137&gt;0,1-H137/G137,"")</f>
        <v/>
      </c>
      <c r="S28">
        <f>IF(G137&gt;0,(G137/1.18-I137)/(G137/1.18),"")</f>
        <v/>
      </c>
      <c r="T28">
        <f>IF(H137&gt;0,(H137/1.18-I137)/(H137/1.18),"")</f>
        <v/>
      </c>
      <c r="U28" t="inlineStr">
        <is>
          <t>NOOS</t>
        </is>
      </c>
      <c r="V28" t="n">
        <v>0</v>
      </c>
      <c r="W28" t="n">
        <v>0</v>
      </c>
    </row>
    <row r="29">
      <c r="A29" t="inlineStr">
        <is>
          <t>32618623</t>
        </is>
      </c>
      <c r="B29" t="inlineStr">
        <is>
          <t>PRODUCTO 667290</t>
        </is>
      </c>
      <c r="C29" t="inlineStr">
        <is>
          <t>DOCKERS</t>
        </is>
      </c>
      <c r="D29" t="inlineStr">
        <is>
          <t>CAMISAS M/L</t>
        </is>
      </c>
      <c r="E29" t="inlineStr">
        <is>
          <t>MARCAS CASUAL NACIONAL HOMBRE</t>
        </is>
      </c>
      <c r="F29" t="n">
        <v>63</v>
      </c>
      <c r="G29" t="n">
        <v>209</v>
      </c>
      <c r="H29" t="n">
        <v>62.7</v>
      </c>
      <c r="I29" t="n">
        <v>102.87</v>
      </c>
      <c r="J29" t="inlineStr">
        <is>
          <t>TT</t>
        </is>
      </c>
      <c r="K29" t="inlineStr">
        <is>
          <t>RANGO 12_99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R29">
        <f>IF(G143&gt;0,1-H143/G143,"")</f>
        <v/>
      </c>
      <c r="S29">
        <f>IF(G143&gt;0,(G143/1.18-I143)/(G143/1.18),"")</f>
        <v/>
      </c>
      <c r="T29">
        <f>IF(H143&gt;0,(H143/1.18-I143)/(H143/1.18),"")</f>
        <v/>
      </c>
      <c r="U29" t="inlineStr">
        <is>
          <t>NOOS</t>
        </is>
      </c>
      <c r="V29" t="n">
        <v>0</v>
      </c>
      <c r="W29" t="n">
        <v>0</v>
      </c>
    </row>
    <row r="30">
      <c r="A30" t="inlineStr">
        <is>
          <t>32912976</t>
        </is>
      </c>
      <c r="B30" t="inlineStr">
        <is>
          <t>PRODUCTO AA4CBC</t>
        </is>
      </c>
      <c r="C30" t="inlineStr">
        <is>
          <t>DOCKERS</t>
        </is>
      </c>
      <c r="D30" t="inlineStr">
        <is>
          <t>POLOS M/C</t>
        </is>
      </c>
      <c r="E30" t="inlineStr">
        <is>
          <t>MARCAS CASUAL NACIONAL HOMBRE</t>
        </is>
      </c>
      <c r="F30" t="n">
        <v>3</v>
      </c>
      <c r="G30" t="n">
        <v>99</v>
      </c>
      <c r="H30" t="n">
        <v>99</v>
      </c>
      <c r="I30" t="n">
        <v>50.34</v>
      </c>
      <c r="J30" t="inlineStr">
        <is>
          <t>TT</t>
        </is>
      </c>
      <c r="K30" t="inlineStr">
        <is>
          <t>RANGO 0_3</t>
        </is>
      </c>
      <c r="L30" t="n">
        <v>7</v>
      </c>
      <c r="M30" t="n">
        <v>2</v>
      </c>
      <c r="N30" t="n">
        <v>0</v>
      </c>
      <c r="O30" t="n">
        <v>1</v>
      </c>
      <c r="P30" t="n">
        <v>6</v>
      </c>
      <c r="R30">
        <f>IF(G150&gt;0,1-H150/G150,"")</f>
        <v/>
      </c>
      <c r="S30">
        <f>IF(G150&gt;0,(G150/1.18-I150)/(G150/1.18),"")</f>
        <v/>
      </c>
      <c r="T30">
        <f>IF(H150&gt;0,(H150/1.18-I150)/(H150/1.18),"")</f>
        <v/>
      </c>
      <c r="U30" t="inlineStr">
        <is>
          <t>NOOS</t>
        </is>
      </c>
      <c r="V30" t="n">
        <v>729.92</v>
      </c>
      <c r="W30" t="n">
        <v>276.86</v>
      </c>
      <c r="X30" t="n">
        <v>0.3793</v>
      </c>
    </row>
    <row r="31">
      <c r="A31" t="inlineStr">
        <is>
          <t>32912981</t>
        </is>
      </c>
      <c r="B31" t="inlineStr">
        <is>
          <t>PRODUCTO 99EEEF</t>
        </is>
      </c>
      <c r="C31" t="inlineStr">
        <is>
          <t>DOCKERS</t>
        </is>
      </c>
      <c r="D31" t="inlineStr">
        <is>
          <t>POLOS M/C</t>
        </is>
      </c>
      <c r="E31" t="inlineStr">
        <is>
          <t>MARCAS CASUAL NACIONAL HOMBRE</t>
        </is>
      </c>
      <c r="F31" t="n">
        <v>3</v>
      </c>
      <c r="G31" t="n">
        <v>99</v>
      </c>
      <c r="H31" t="n">
        <v>99</v>
      </c>
      <c r="I31" t="n">
        <v>50.34</v>
      </c>
      <c r="J31" t="inlineStr">
        <is>
          <t>TT</t>
        </is>
      </c>
      <c r="K31" t="inlineStr">
        <is>
          <t>RANGO 0_3</t>
        </is>
      </c>
      <c r="L31" t="n">
        <v>5</v>
      </c>
      <c r="M31" t="n">
        <v>6</v>
      </c>
      <c r="N31" t="n">
        <v>2</v>
      </c>
      <c r="O31" t="n">
        <v>4</v>
      </c>
      <c r="P31" t="n">
        <v>4</v>
      </c>
      <c r="R31">
        <f>IF(G151&gt;0,1-H151/G151,"")</f>
        <v/>
      </c>
      <c r="S31">
        <f>IF(G151&gt;0,(G151/1.18-I151)/(G151/1.18),"")</f>
        <v/>
      </c>
      <c r="T31">
        <f>IF(H151&gt;0,(H151/1.18-I151)/(H151/1.18),"")</f>
        <v/>
      </c>
      <c r="U31" t="inlineStr">
        <is>
          <t>NOOS</t>
        </is>
      </c>
      <c r="V31" t="n">
        <v>1250.07</v>
      </c>
      <c r="W31" t="n">
        <v>444.63</v>
      </c>
      <c r="X31" t="n">
        <v>0.3557</v>
      </c>
    </row>
    <row r="32">
      <c r="A32" t="inlineStr">
        <is>
          <t>32912996</t>
        </is>
      </c>
      <c r="B32" t="inlineStr">
        <is>
          <t>PRODUCTO AAF574</t>
        </is>
      </c>
      <c r="C32" t="inlineStr">
        <is>
          <t>DOCKERS</t>
        </is>
      </c>
      <c r="D32" t="inlineStr">
        <is>
          <t>POLOS M/C</t>
        </is>
      </c>
      <c r="E32" t="inlineStr">
        <is>
          <t>MARCAS CASUAL NACIONAL HOMBRE</t>
        </is>
      </c>
      <c r="F32" t="n">
        <v>3</v>
      </c>
      <c r="G32" t="n">
        <v>129</v>
      </c>
      <c r="H32" t="n">
        <v>129</v>
      </c>
      <c r="I32" t="n">
        <v>60.2</v>
      </c>
      <c r="J32" t="inlineStr">
        <is>
          <t>TT</t>
        </is>
      </c>
      <c r="K32" t="inlineStr">
        <is>
          <t>RANGO 0_3</t>
        </is>
      </c>
      <c r="L32" t="n">
        <v>6</v>
      </c>
      <c r="M32" t="n">
        <v>9</v>
      </c>
      <c r="N32" t="n">
        <v>1</v>
      </c>
      <c r="O32" t="n">
        <v>6</v>
      </c>
      <c r="P32" t="n">
        <v>4</v>
      </c>
      <c r="R32">
        <f>IF(G154&gt;0,1-H154/G154,"")</f>
        <v/>
      </c>
      <c r="S32">
        <f>IF(G154&gt;0,(G154/1.18-I154)/(G154/1.18),"")</f>
        <v/>
      </c>
      <c r="T32">
        <f>IF(H154&gt;0,(H154/1.18-I154)/(H154/1.18),"")</f>
        <v/>
      </c>
      <c r="U32" t="inlineStr">
        <is>
          <t>NOOS</t>
        </is>
      </c>
      <c r="V32" t="n">
        <v>2083.65</v>
      </c>
      <c r="W32" t="n">
        <v>881.0599999999999</v>
      </c>
      <c r="X32" t="n">
        <v>0.4228</v>
      </c>
    </row>
    <row r="33">
      <c r="A33" t="inlineStr">
        <is>
          <t>32913007</t>
        </is>
      </c>
      <c r="B33" t="inlineStr">
        <is>
          <t>PRODUCTO CADEEF</t>
        </is>
      </c>
      <c r="C33" t="inlineStr">
        <is>
          <t>DOCKERS</t>
        </is>
      </c>
      <c r="D33" t="inlineStr">
        <is>
          <t>POLOS M/C</t>
        </is>
      </c>
      <c r="E33" t="inlineStr">
        <is>
          <t>MARCAS CASUAL NACIONAL HOMBRE</t>
        </is>
      </c>
      <c r="F33" t="n">
        <v>3</v>
      </c>
      <c r="G33" t="n">
        <v>129</v>
      </c>
      <c r="H33" t="n">
        <v>129</v>
      </c>
      <c r="I33" t="n">
        <v>60.76</v>
      </c>
      <c r="J33" t="inlineStr">
        <is>
          <t>TT</t>
        </is>
      </c>
      <c r="K33" t="inlineStr">
        <is>
          <t>RANGO 0_3</t>
        </is>
      </c>
      <c r="L33" t="n">
        <v>5</v>
      </c>
      <c r="M33" t="n">
        <v>11</v>
      </c>
      <c r="N33" t="n">
        <v>1</v>
      </c>
      <c r="O33" t="n">
        <v>8</v>
      </c>
      <c r="P33" t="n">
        <v>9</v>
      </c>
      <c r="R33">
        <f>IF(G156&gt;0,1-H156/G156,"")</f>
        <v/>
      </c>
      <c r="S33">
        <f>IF(G156&gt;0,(G156/1.18-I156)/(G156/1.18),"")</f>
        <v/>
      </c>
      <c r="T33">
        <f>IF(H156&gt;0,(H156/1.18-I156)/(H156/1.18),"")</f>
        <v/>
      </c>
      <c r="U33" t="inlineStr">
        <is>
          <t>NOOS</t>
        </is>
      </c>
      <c r="V33" t="n">
        <v>2733.43</v>
      </c>
      <c r="W33" t="n">
        <v>949.99</v>
      </c>
      <c r="X33" t="n">
        <v>0.3475</v>
      </c>
    </row>
    <row r="34">
      <c r="A34" t="inlineStr">
        <is>
          <t>33552621</t>
        </is>
      </c>
      <c r="B34" t="inlineStr">
        <is>
          <t>PRODUCTO 69D7E3</t>
        </is>
      </c>
      <c r="C34" t="inlineStr">
        <is>
          <t>OSCAR DE LA RENTA</t>
        </is>
      </c>
      <c r="D34" t="inlineStr">
        <is>
          <t>CAMISAS M/L</t>
        </is>
      </c>
      <c r="E34" t="inlineStr">
        <is>
          <t>MARCAS CASUAL INTERNACIONAL HOMBRE</t>
        </is>
      </c>
      <c r="F34" t="n">
        <v>111</v>
      </c>
      <c r="G34" t="n">
        <v>229.99</v>
      </c>
      <c r="H34" t="n">
        <v>29.99</v>
      </c>
      <c r="I34" t="n">
        <v>79.73999999999999</v>
      </c>
      <c r="J34" t="inlineStr">
        <is>
          <t>TT</t>
        </is>
      </c>
      <c r="K34" t="inlineStr">
        <is>
          <t>RANGO 12_99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R34">
        <f>IF(G186&gt;0,1-H186/G186,"")</f>
        <v/>
      </c>
      <c r="S34">
        <f>IF(G186&gt;0,(G186/1.18-I186)/(G186/1.18),"")</f>
        <v/>
      </c>
      <c r="T34">
        <f>IF(H186&gt;0,(H186/1.18-I186)/(H186/1.18),"")</f>
        <v/>
      </c>
      <c r="U34" t="inlineStr">
        <is>
          <t>NOOS</t>
        </is>
      </c>
      <c r="V34" t="n">
        <v>0</v>
      </c>
      <c r="W34" t="n">
        <v>0</v>
      </c>
    </row>
    <row r="35">
      <c r="A35" t="inlineStr">
        <is>
          <t>33552692</t>
        </is>
      </c>
      <c r="B35" t="inlineStr">
        <is>
          <t>PRODUCTO DF2069</t>
        </is>
      </c>
      <c r="C35" t="inlineStr">
        <is>
          <t>OSCAR DE LA RENTA</t>
        </is>
      </c>
      <c r="D35" t="inlineStr">
        <is>
          <t>CAMISAS M/L</t>
        </is>
      </c>
      <c r="E35" t="inlineStr">
        <is>
          <t>MARCAS CASUAL INTERNACIONAL HOMBRE</t>
        </is>
      </c>
      <c r="F35" t="n">
        <v>65</v>
      </c>
      <c r="G35" t="n">
        <v>229.99</v>
      </c>
      <c r="H35" t="n">
        <v>59.99</v>
      </c>
      <c r="I35" t="n">
        <v>79.48999999999999</v>
      </c>
      <c r="J35" t="inlineStr">
        <is>
          <t>TT</t>
        </is>
      </c>
      <c r="K35" t="inlineStr">
        <is>
          <t>RANGO 12_99</t>
        </is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R35">
        <f>IF(G193&gt;0,1-H193/G193,"")</f>
        <v/>
      </c>
      <c r="S35">
        <f>IF(G193&gt;0,(G193/1.18-I193)/(G193/1.18),"")</f>
        <v/>
      </c>
      <c r="T35">
        <f>IF(H193&gt;0,(H193/1.18-I193)/(H193/1.18),"")</f>
        <v/>
      </c>
      <c r="U35" t="inlineStr">
        <is>
          <t>NOOS</t>
        </is>
      </c>
      <c r="V35" t="n">
        <v>0</v>
      </c>
      <c r="W35" t="n">
        <v>0</v>
      </c>
    </row>
    <row r="36">
      <c r="A36" t="inlineStr">
        <is>
          <t>33621073</t>
        </is>
      </c>
      <c r="B36" t="inlineStr">
        <is>
          <t>PRODUCTO FE8A2E</t>
        </is>
      </c>
      <c r="C36" t="inlineStr">
        <is>
          <t>PSYCHO BUNNY</t>
        </is>
      </c>
      <c r="D36" t="inlineStr">
        <is>
          <t>POLOS M/C</t>
        </is>
      </c>
      <c r="E36" t="inlineStr">
        <is>
          <t>MARCAS CASUAL INTERNACIONAL HOMBRE</t>
        </is>
      </c>
      <c r="F36" t="n">
        <v>104</v>
      </c>
      <c r="G36" t="n">
        <v>189.99</v>
      </c>
      <c r="H36" t="n">
        <v>19.99</v>
      </c>
      <c r="I36" t="n">
        <v>98.06999999999999</v>
      </c>
      <c r="J36" t="inlineStr">
        <is>
          <t>TT</t>
        </is>
      </c>
      <c r="K36" t="inlineStr">
        <is>
          <t>RANGO 12_99</t>
        </is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R36">
        <f>IF(G201&gt;0,1-H201/G201,"")</f>
        <v/>
      </c>
      <c r="S36">
        <f>IF(G201&gt;0,(G201/1.18-I201)/(G201/1.18),"")</f>
        <v/>
      </c>
      <c r="T36">
        <f>IF(H201&gt;0,(H201/1.18-I201)/(H201/1.18),"")</f>
        <v/>
      </c>
      <c r="U36" t="inlineStr">
        <is>
          <t>NOOS</t>
        </is>
      </c>
      <c r="V36" t="n">
        <v>16.94</v>
      </c>
      <c r="W36" t="n">
        <v>-81.13</v>
      </c>
      <c r="X36" t="n">
        <v>-4.7893</v>
      </c>
    </row>
    <row r="37">
      <c r="A37" t="inlineStr">
        <is>
          <t>33650934</t>
        </is>
      </c>
      <c r="B37" t="inlineStr">
        <is>
          <t>PRODUCTO F55FBD</t>
        </is>
      </c>
      <c r="C37" t="inlineStr">
        <is>
          <t>NAVIGATA</t>
        </is>
      </c>
      <c r="D37" t="inlineStr">
        <is>
          <t>TRAJES DE BANO</t>
        </is>
      </c>
      <c r="E37" t="inlineStr">
        <is>
          <t>NAVIGATA HOMBRE</t>
        </is>
      </c>
      <c r="F37" t="n">
        <v>0</v>
      </c>
      <c r="G37" t="n">
        <v>99.98999999999999</v>
      </c>
      <c r="H37" t="n">
        <v>19.99</v>
      </c>
      <c r="I37" t="n">
        <v>24.55</v>
      </c>
      <c r="J37" t="inlineStr">
        <is>
          <t>PV</t>
        </is>
      </c>
      <c r="K37" t="inlineStr">
        <is>
          <t>Sin Rango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R37">
        <f>IF(G203&gt;0,1-H203/G203,"")</f>
        <v/>
      </c>
      <c r="S37">
        <f>IF(G203&gt;0,(G203/1.18-I203)/(G203/1.18),"")</f>
        <v/>
      </c>
      <c r="T37">
        <f>IF(H203&gt;0,(H203/1.18-I203)/(H203/1.18),"")</f>
        <v/>
      </c>
      <c r="U37" t="inlineStr">
        <is>
          <t>NOOS</t>
        </is>
      </c>
      <c r="V37" t="n">
        <v>0</v>
      </c>
      <c r="W37" t="n">
        <v>0</v>
      </c>
    </row>
    <row r="38">
      <c r="A38" t="inlineStr">
        <is>
          <t>33763379</t>
        </is>
      </c>
      <c r="B38" t="inlineStr">
        <is>
          <t>PRODUCTO F2E3F6</t>
        </is>
      </c>
      <c r="C38" t="inlineStr">
        <is>
          <t>OSCAR DE LA RENTA</t>
        </is>
      </c>
      <c r="D38" t="inlineStr">
        <is>
          <t>BLAZERS</t>
        </is>
      </c>
      <c r="E38" t="inlineStr">
        <is>
          <t>MARCAS CASUAL INTERNACIONAL HOMBRE</t>
        </is>
      </c>
      <c r="F38" t="n">
        <v>0</v>
      </c>
      <c r="G38" t="n">
        <v>499.99</v>
      </c>
      <c r="H38" t="n">
        <v>150</v>
      </c>
      <c r="I38" t="n">
        <v>182.51</v>
      </c>
      <c r="J38" t="inlineStr">
        <is>
          <t>TT</t>
        </is>
      </c>
      <c r="K38" t="inlineStr">
        <is>
          <t>Sin Rango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R38">
        <f>IF(G209&gt;0,1-H209/G209,"")</f>
        <v/>
      </c>
      <c r="S38">
        <f>IF(G209&gt;0,(G209/1.18-I209)/(G209/1.18),"")</f>
        <v/>
      </c>
      <c r="T38">
        <f>IF(H209&gt;0,(H209/1.18-I209)/(H209/1.18),"")</f>
        <v/>
      </c>
      <c r="U38" t="inlineStr">
        <is>
          <t>NOOS</t>
        </is>
      </c>
      <c r="V38" t="n">
        <v>0</v>
      </c>
      <c r="W38" t="n">
        <v>0</v>
      </c>
    </row>
    <row r="39">
      <c r="A39" t="inlineStr">
        <is>
          <t>33763411</t>
        </is>
      </c>
      <c r="B39" t="inlineStr">
        <is>
          <t>PRODUCTO 5EFC14</t>
        </is>
      </c>
      <c r="C39" t="inlineStr">
        <is>
          <t>OSCAR DE LA RENTA</t>
        </is>
      </c>
      <c r="D39" t="inlineStr">
        <is>
          <t>BLAZERS</t>
        </is>
      </c>
      <c r="E39" t="inlineStr">
        <is>
          <t>MARCAS CASUAL INTERNACIONAL HOMBRE</t>
        </is>
      </c>
      <c r="F39" t="n">
        <v>65</v>
      </c>
      <c r="G39" t="n">
        <v>499.99</v>
      </c>
      <c r="H39" t="n">
        <v>119.99</v>
      </c>
      <c r="I39" t="n">
        <v>181.37</v>
      </c>
      <c r="J39" t="inlineStr">
        <is>
          <t>TT</t>
        </is>
      </c>
      <c r="K39" t="inlineStr">
        <is>
          <t>RANGO 12_99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R39">
        <f>IF(G210&gt;0,1-H210/G210,"")</f>
        <v/>
      </c>
      <c r="S39">
        <f>IF(G210&gt;0,(G210/1.18-I210)/(G210/1.18),"")</f>
        <v/>
      </c>
      <c r="T39">
        <f>IF(H210&gt;0,(H210/1.18-I210)/(H210/1.18),"")</f>
        <v/>
      </c>
      <c r="U39" t="inlineStr">
        <is>
          <t>NOOS</t>
        </is>
      </c>
      <c r="V39" t="n">
        <v>0</v>
      </c>
      <c r="W39" t="n">
        <v>0</v>
      </c>
    </row>
    <row r="40">
      <c r="A40" t="inlineStr">
        <is>
          <t>33807779</t>
        </is>
      </c>
      <c r="B40" t="inlineStr">
        <is>
          <t>PRODUCTO 15ABFC</t>
        </is>
      </c>
      <c r="C40" t="inlineStr">
        <is>
          <t>MARQUIS</t>
        </is>
      </c>
      <c r="D40" t="inlineStr">
        <is>
          <t>PANTALONES</t>
        </is>
      </c>
      <c r="E40" t="inlineStr">
        <is>
          <t>MARQUIS HOMBRE</t>
        </is>
      </c>
      <c r="F40" t="n">
        <v>7</v>
      </c>
      <c r="G40" t="n">
        <v>129.99</v>
      </c>
      <c r="H40" t="n">
        <v>99.98999999999999</v>
      </c>
      <c r="I40" t="n">
        <v>35</v>
      </c>
      <c r="J40" t="inlineStr">
        <is>
          <t>TT</t>
        </is>
      </c>
      <c r="K40" t="inlineStr">
        <is>
          <t>RANGO 0_3</t>
        </is>
      </c>
      <c r="L40" t="n">
        <v>759</v>
      </c>
      <c r="M40" t="n">
        <v>44</v>
      </c>
      <c r="N40" t="n">
        <v>37</v>
      </c>
      <c r="O40" t="n">
        <v>18</v>
      </c>
      <c r="P40" t="n">
        <v>20</v>
      </c>
      <c r="R40">
        <f>IF(G215&gt;0,1-H215/G215,"")</f>
        <v/>
      </c>
      <c r="S40">
        <f>IF(G215&gt;0,(G215/1.18-I215)/(G215/1.18),"")</f>
        <v/>
      </c>
      <c r="T40">
        <f>IF(H215&gt;0,(H215/1.18-I215)/(H215/1.18),"")</f>
        <v/>
      </c>
      <c r="U40" t="inlineStr">
        <is>
          <t>NOOS</t>
        </is>
      </c>
      <c r="V40" t="n">
        <v>9003.5</v>
      </c>
      <c r="W40" t="n">
        <v>4838.5</v>
      </c>
      <c r="X40" t="n">
        <v>0.5374</v>
      </c>
    </row>
    <row r="41">
      <c r="A41" t="inlineStr">
        <is>
          <t>33820383</t>
        </is>
      </c>
      <c r="B41" t="inlineStr">
        <is>
          <t>PRODUCTO C0EC4A</t>
        </is>
      </c>
      <c r="C41" t="inlineStr">
        <is>
          <t>US POLO</t>
        </is>
      </c>
      <c r="D41" t="inlineStr">
        <is>
          <t>ACCESORIOS</t>
        </is>
      </c>
      <c r="E41" t="inlineStr">
        <is>
          <t>MARCAS CASUAL INTERNACIONAL HOMBRE</t>
        </is>
      </c>
      <c r="F41" t="n">
        <v>104</v>
      </c>
      <c r="G41" t="n">
        <v>129.99</v>
      </c>
      <c r="H41" t="n">
        <v>19.99</v>
      </c>
      <c r="I41" t="n">
        <v>57.25</v>
      </c>
      <c r="J41" t="inlineStr">
        <is>
          <t>TT</t>
        </is>
      </c>
      <c r="K41" t="inlineStr">
        <is>
          <t>RANGO 12_99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R41">
        <f>IF(G219&gt;0,1-H219/G219,"")</f>
        <v/>
      </c>
      <c r="S41">
        <f>IF(G219&gt;0,(G219/1.18-I219)/(G219/1.18),"")</f>
        <v/>
      </c>
      <c r="T41">
        <f>IF(H219&gt;0,(H219/1.18-I219)/(H219/1.18),"")</f>
        <v/>
      </c>
      <c r="U41" t="inlineStr">
        <is>
          <t>NOOS</t>
        </is>
      </c>
      <c r="V41" t="n">
        <v>0</v>
      </c>
      <c r="W41" t="n">
        <v>0</v>
      </c>
    </row>
    <row r="42">
      <c r="A42" t="inlineStr">
        <is>
          <t>34186228</t>
        </is>
      </c>
      <c r="B42" t="inlineStr">
        <is>
          <t>PRODUCTO 4C9757</t>
        </is>
      </c>
      <c r="C42" t="inlineStr">
        <is>
          <t>US POLO</t>
        </is>
      </c>
      <c r="D42" t="inlineStr">
        <is>
          <t>ACCESORIOS</t>
        </is>
      </c>
      <c r="E42" t="inlineStr">
        <is>
          <t>MARCAS CASUAL INTERNACIONAL HOMBRE</t>
        </is>
      </c>
      <c r="F42" t="n">
        <v>34</v>
      </c>
      <c r="G42" t="n">
        <v>119.99</v>
      </c>
      <c r="H42" t="n">
        <v>119.99</v>
      </c>
      <c r="I42" t="n">
        <v>45.3</v>
      </c>
      <c r="J42" t="inlineStr">
        <is>
          <t>TT</t>
        </is>
      </c>
      <c r="K42" t="inlineStr">
        <is>
          <t>RANGO 6_9</t>
        </is>
      </c>
      <c r="L42" t="n">
        <v>24</v>
      </c>
      <c r="M42" t="n">
        <v>6</v>
      </c>
      <c r="N42" t="n">
        <v>9</v>
      </c>
      <c r="O42" t="n">
        <v>10</v>
      </c>
      <c r="P42" t="n">
        <v>8</v>
      </c>
      <c r="R42">
        <f>IF(G231&gt;0,1-H231/G231,"")</f>
        <v/>
      </c>
      <c r="S42">
        <f>IF(G231&gt;0,(G231/1.18-I231)/(G231/1.18),"")</f>
        <v/>
      </c>
      <c r="T42">
        <f>IF(H231&gt;0,(H231/1.18-I231)/(H231/1.18),"")</f>
        <v/>
      </c>
      <c r="U42" t="inlineStr">
        <is>
          <t>NOOS</t>
        </is>
      </c>
      <c r="V42" t="n">
        <v>2726.16</v>
      </c>
      <c r="W42" t="n">
        <v>1211.69</v>
      </c>
      <c r="X42" t="n">
        <v>0.4445</v>
      </c>
    </row>
    <row r="43">
      <c r="A43" t="inlineStr">
        <is>
          <t>34788213</t>
        </is>
      </c>
      <c r="B43" t="inlineStr">
        <is>
          <t>PRODUCTO D19A71</t>
        </is>
      </c>
      <c r="C43" t="inlineStr">
        <is>
          <t>CACHAREL</t>
        </is>
      </c>
      <c r="D43" t="inlineStr">
        <is>
          <t>JEANS</t>
        </is>
      </c>
      <c r="E43" t="inlineStr">
        <is>
          <t>CACHAREL HOMBRE</t>
        </is>
      </c>
      <c r="F43" t="n">
        <v>10</v>
      </c>
      <c r="G43" t="n">
        <v>149.99</v>
      </c>
      <c r="H43" t="n">
        <v>99.98999999999999</v>
      </c>
      <c r="I43" t="n">
        <v>39.5</v>
      </c>
      <c r="J43" t="inlineStr">
        <is>
          <t>TT</t>
        </is>
      </c>
      <c r="K43" t="inlineStr">
        <is>
          <t>RANGO 0_3</t>
        </is>
      </c>
      <c r="L43" t="n">
        <v>99</v>
      </c>
      <c r="M43" t="n">
        <v>169</v>
      </c>
      <c r="N43" t="n">
        <v>93</v>
      </c>
      <c r="O43" t="n">
        <v>115</v>
      </c>
      <c r="P43" t="n">
        <v>123</v>
      </c>
      <c r="R43">
        <f>IF(G243&gt;0,1-H243/G243,"")</f>
        <v/>
      </c>
      <c r="S43">
        <f>IF(G243&gt;0,(G243/1.18-I243)/(G243/1.18),"")</f>
        <v/>
      </c>
      <c r="T43">
        <f>IF(H243&gt;0,(H243/1.18-I243)/(H243/1.18),"")</f>
        <v/>
      </c>
      <c r="U43" t="inlineStr">
        <is>
          <t>NOOS</t>
        </is>
      </c>
      <c r="V43" t="n">
        <v>39884.26</v>
      </c>
      <c r="W43" t="n">
        <v>20134.26</v>
      </c>
      <c r="X43" t="n">
        <v>0.5048</v>
      </c>
    </row>
    <row r="44">
      <c r="A44" t="inlineStr">
        <is>
          <t>35040381</t>
        </is>
      </c>
      <c r="B44" t="inlineStr">
        <is>
          <t>PRODUCTO F0C252</t>
        </is>
      </c>
      <c r="C44" t="inlineStr">
        <is>
          <t>SELECTED</t>
        </is>
      </c>
      <c r="D44" t="inlineStr">
        <is>
          <t>CAMISAS M/L</t>
        </is>
      </c>
      <c r="E44" t="inlineStr">
        <is>
          <t>MARCAS CASUAL INTERNACIONAL HOMBRE</t>
        </is>
      </c>
      <c r="F44" t="n">
        <v>87</v>
      </c>
      <c r="G44" t="n">
        <v>229.99</v>
      </c>
      <c r="H44" t="n">
        <v>59.99</v>
      </c>
      <c r="I44" t="n">
        <v>74.04000000000001</v>
      </c>
      <c r="J44" t="inlineStr">
        <is>
          <t>TT</t>
        </is>
      </c>
      <c r="K44" t="inlineStr">
        <is>
          <t>RANGO 12_99</t>
        </is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R44">
        <f>IF(G251&gt;0,1-H251/G251,"")</f>
        <v/>
      </c>
      <c r="S44">
        <f>IF(G251&gt;0,(G251/1.18-I251)/(G251/1.18),"")</f>
        <v/>
      </c>
      <c r="T44">
        <f>IF(H251&gt;0,(H251/1.18-I251)/(H251/1.18),"")</f>
        <v/>
      </c>
      <c r="U44" t="inlineStr">
        <is>
          <t>NOOS</t>
        </is>
      </c>
      <c r="V44" t="n">
        <v>101.68</v>
      </c>
      <c r="W44" t="n">
        <v>-46.46</v>
      </c>
      <c r="X44" t="n">
        <v>-0.4569</v>
      </c>
    </row>
    <row r="45">
      <c r="A45" t="inlineStr">
        <is>
          <t>35128849</t>
        </is>
      </c>
      <c r="B45" t="inlineStr">
        <is>
          <t>PRODUCTO 8BC981</t>
        </is>
      </c>
      <c r="C45" t="inlineStr">
        <is>
          <t>NAVIGATA</t>
        </is>
      </c>
      <c r="D45" t="inlineStr">
        <is>
          <t>CAMISAS M/L</t>
        </is>
      </c>
      <c r="E45" t="inlineStr">
        <is>
          <t>NAVIGATA HOMBRE</t>
        </is>
      </c>
      <c r="F45" t="n">
        <v>0</v>
      </c>
      <c r="G45" t="n">
        <v>129.99</v>
      </c>
      <c r="H45" t="n">
        <v>26</v>
      </c>
      <c r="I45" t="n">
        <v>25.44</v>
      </c>
      <c r="J45" t="inlineStr">
        <is>
          <t>PV</t>
        </is>
      </c>
      <c r="K45" t="inlineStr">
        <is>
          <t>Sin Rango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R45">
        <f>IF(G253&gt;0,1-H253/G253,"")</f>
        <v/>
      </c>
      <c r="S45">
        <f>IF(G253&gt;0,(G253/1.18-I253)/(G253/1.18),"")</f>
        <v/>
      </c>
      <c r="T45">
        <f>IF(H253&gt;0,(H253/1.18-I253)/(H253/1.18),"")</f>
        <v/>
      </c>
      <c r="U45" t="inlineStr">
        <is>
          <t>C</t>
        </is>
      </c>
      <c r="V45" t="n">
        <v>0</v>
      </c>
      <c r="W45" t="n">
        <v>0</v>
      </c>
    </row>
    <row r="46">
      <c r="A46" t="inlineStr">
        <is>
          <t>35130381</t>
        </is>
      </c>
      <c r="B46" t="inlineStr">
        <is>
          <t>PRODUCTO CA5191</t>
        </is>
      </c>
      <c r="C46" t="inlineStr">
        <is>
          <t>NAVIGATA</t>
        </is>
      </c>
      <c r="D46" t="inlineStr">
        <is>
          <t>CAMISAS M/L</t>
        </is>
      </c>
      <c r="E46" t="inlineStr">
        <is>
          <t>NAVIGATA HOMBRE</t>
        </is>
      </c>
      <c r="F46" t="n">
        <v>0</v>
      </c>
      <c r="G46" t="n">
        <v>119.99</v>
      </c>
      <c r="H46" t="n">
        <v>24</v>
      </c>
      <c r="I46" t="n">
        <v>28.26</v>
      </c>
      <c r="J46" t="inlineStr">
        <is>
          <t>PV</t>
        </is>
      </c>
      <c r="K46" t="inlineStr">
        <is>
          <t>Sin Rango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R46">
        <f>IF(G254&gt;0,1-H254/G254,"")</f>
        <v/>
      </c>
      <c r="S46">
        <f>IF(G254&gt;0,(G254/1.18-I254)/(G254/1.18),"")</f>
        <v/>
      </c>
      <c r="T46">
        <f>IF(H254&gt;0,(H254/1.18-I254)/(H254/1.18),"")</f>
        <v/>
      </c>
      <c r="U46" t="inlineStr">
        <is>
          <t>B</t>
        </is>
      </c>
      <c r="V46" t="n">
        <v>0</v>
      </c>
      <c r="W46" t="n">
        <v>0</v>
      </c>
    </row>
    <row r="47">
      <c r="A47" t="inlineStr">
        <is>
          <t>35471795</t>
        </is>
      </c>
      <c r="B47" t="inlineStr">
        <is>
          <t>PRODUCTO 384F79</t>
        </is>
      </c>
      <c r="C47" t="inlineStr">
        <is>
          <t>OSCAR DE LA RENTA</t>
        </is>
      </c>
      <c r="D47" t="inlineStr">
        <is>
          <t>BLAZERS</t>
        </is>
      </c>
      <c r="E47" t="inlineStr">
        <is>
          <t>MARCAS CASUAL INTERNACIONAL HOMBRE</t>
        </is>
      </c>
      <c r="F47" t="n">
        <v>41</v>
      </c>
      <c r="G47" t="n">
        <v>499.99</v>
      </c>
      <c r="H47" t="n">
        <v>299.99</v>
      </c>
      <c r="I47" t="n">
        <v>165.78</v>
      </c>
      <c r="J47" t="inlineStr">
        <is>
          <t>TT</t>
        </is>
      </c>
      <c r="K47" t="inlineStr">
        <is>
          <t>RANGO 9_12</t>
        </is>
      </c>
      <c r="L47" t="n">
        <v>19</v>
      </c>
      <c r="M47" t="n">
        <v>2</v>
      </c>
      <c r="N47" t="n">
        <v>1</v>
      </c>
      <c r="O47" t="n">
        <v>1</v>
      </c>
      <c r="P47" t="n">
        <v>0</v>
      </c>
      <c r="R47">
        <f>IF(G272&gt;0,1-H272/G272,"")</f>
        <v/>
      </c>
      <c r="S47">
        <f>IF(G272&gt;0,(G272/1.18-I272)/(G272/1.18),"")</f>
        <v/>
      </c>
      <c r="T47">
        <f>IF(H272&gt;0,(H272/1.18-I272)/(H272/1.18),"")</f>
        <v/>
      </c>
      <c r="U47" t="inlineStr">
        <is>
          <t>NOOS</t>
        </is>
      </c>
      <c r="V47" t="n">
        <v>991.42</v>
      </c>
      <c r="W47" t="n">
        <v>344.3</v>
      </c>
      <c r="X47" t="n">
        <v>0.3473</v>
      </c>
    </row>
    <row r="48">
      <c r="A48" t="inlineStr">
        <is>
          <t>35471810</t>
        </is>
      </c>
      <c r="B48" t="inlineStr">
        <is>
          <t>PRODUCTO A28C89</t>
        </is>
      </c>
      <c r="C48" t="inlineStr">
        <is>
          <t>OSCAR DE LA RENTA</t>
        </is>
      </c>
      <c r="D48" t="inlineStr">
        <is>
          <t>BLAZERS</t>
        </is>
      </c>
      <c r="E48" t="inlineStr">
        <is>
          <t>MARCAS CASUAL INTERNACIONAL HOMBRE</t>
        </is>
      </c>
      <c r="F48" t="n">
        <v>41</v>
      </c>
      <c r="G48" t="n">
        <v>499.99</v>
      </c>
      <c r="H48" t="n">
        <v>219.99</v>
      </c>
      <c r="I48" t="n">
        <v>166.45</v>
      </c>
      <c r="J48" t="inlineStr">
        <is>
          <t>TT</t>
        </is>
      </c>
      <c r="K48" t="inlineStr">
        <is>
          <t>RANGO 9_12</t>
        </is>
      </c>
      <c r="L48" t="n">
        <v>0</v>
      </c>
      <c r="M48" t="n">
        <v>2</v>
      </c>
      <c r="N48" t="n">
        <v>2</v>
      </c>
      <c r="O48" t="n">
        <v>1</v>
      </c>
      <c r="P48" t="n">
        <v>1</v>
      </c>
      <c r="R48">
        <f>IF(G273&gt;0,1-H273/G273,"")</f>
        <v/>
      </c>
      <c r="S48">
        <f>IF(G273&gt;0,(G273/1.18-I273)/(G273/1.18),"")</f>
        <v/>
      </c>
      <c r="T48">
        <f>IF(H273&gt;0,(H273/1.18-I273)/(H273/1.18),"")</f>
        <v/>
      </c>
      <c r="U48" t="inlineStr">
        <is>
          <t>NOOS</t>
        </is>
      </c>
      <c r="V48" t="n">
        <v>1066.04</v>
      </c>
      <c r="W48" t="n">
        <v>69.51000000000001</v>
      </c>
      <c r="X48" t="n">
        <v>0.06519999999999999</v>
      </c>
    </row>
    <row r="49">
      <c r="A49" t="inlineStr">
        <is>
          <t>35730652</t>
        </is>
      </c>
      <c r="B49" t="inlineStr">
        <is>
          <t>PRODUCTO 88CC30</t>
        </is>
      </c>
      <c r="C49" t="inlineStr">
        <is>
          <t>DOCKERS</t>
        </is>
      </c>
      <c r="D49" t="inlineStr">
        <is>
          <t>ACCESORIOS</t>
        </is>
      </c>
      <c r="E49" t="inlineStr">
        <is>
          <t>MARCAS CASUAL NACIONAL HOMBRE</t>
        </is>
      </c>
      <c r="F49" t="n">
        <v>63</v>
      </c>
      <c r="G49" t="n">
        <v>129</v>
      </c>
      <c r="H49" t="n">
        <v>38.7</v>
      </c>
      <c r="I49" t="n">
        <v>65.59</v>
      </c>
      <c r="J49" t="inlineStr">
        <is>
          <t>TT</t>
        </is>
      </c>
      <c r="K49" t="inlineStr">
        <is>
          <t>RANGO 12_99</t>
        </is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R49">
        <f>IF(G286&gt;0,1-H286/G286,"")</f>
        <v/>
      </c>
      <c r="S49">
        <f>IF(G286&gt;0,(G286/1.18-I286)/(G286/1.18),"")</f>
        <v/>
      </c>
      <c r="T49">
        <f>IF(H286&gt;0,(H286/1.18-I286)/(H286/1.18),"")</f>
        <v/>
      </c>
      <c r="U49" t="inlineStr">
        <is>
          <t>NOOS</t>
        </is>
      </c>
      <c r="V49" t="n">
        <v>0</v>
      </c>
      <c r="W49" t="n">
        <v>0</v>
      </c>
    </row>
    <row r="50">
      <c r="A50" t="inlineStr">
        <is>
          <t>35730658</t>
        </is>
      </c>
      <c r="B50" t="inlineStr">
        <is>
          <t>PRODUCTO 8EA7D1</t>
        </is>
      </c>
      <c r="C50" t="inlineStr">
        <is>
          <t>DOCKERS</t>
        </is>
      </c>
      <c r="D50" t="inlineStr">
        <is>
          <t>ACCESORIOS</t>
        </is>
      </c>
      <c r="E50" t="inlineStr">
        <is>
          <t>MARCAS CASUAL NACIONAL HOMBRE</t>
        </is>
      </c>
      <c r="F50" t="n">
        <v>63</v>
      </c>
      <c r="G50" t="n">
        <v>129</v>
      </c>
      <c r="H50" t="n">
        <v>38.7</v>
      </c>
      <c r="I50" t="n">
        <v>65.59</v>
      </c>
      <c r="J50" t="inlineStr">
        <is>
          <t>TT</t>
        </is>
      </c>
      <c r="K50" t="inlineStr">
        <is>
          <t>RANGO 12_99</t>
        </is>
      </c>
      <c r="L50" t="n">
        <v>0</v>
      </c>
      <c r="M50" t="n">
        <v>3</v>
      </c>
      <c r="N50" t="n">
        <v>0</v>
      </c>
      <c r="O50" t="n">
        <v>0</v>
      </c>
      <c r="P50" t="n">
        <v>0</v>
      </c>
      <c r="R50">
        <f>IF(G287&gt;0,1-H287/G287,"")</f>
        <v/>
      </c>
      <c r="S50">
        <f>IF(G287&gt;0,(G287/1.18-I287)/(G287/1.18),"")</f>
        <v/>
      </c>
      <c r="T50">
        <f>IF(H287&gt;0,(H287/1.18-I287)/(H287/1.18),"")</f>
        <v/>
      </c>
      <c r="U50" t="inlineStr">
        <is>
          <t>NOOS</t>
        </is>
      </c>
      <c r="V50" t="n">
        <v>98.40000000000001</v>
      </c>
      <c r="W50" t="n">
        <v>-98.37</v>
      </c>
      <c r="X50" t="n">
        <v>-0.9997</v>
      </c>
    </row>
    <row r="51">
      <c r="A51" t="inlineStr">
        <is>
          <t>35822208</t>
        </is>
      </c>
      <c r="B51" t="inlineStr">
        <is>
          <t>PRODUCTO F531D6</t>
        </is>
      </c>
      <c r="C51" t="inlineStr">
        <is>
          <t>NAVIGATA</t>
        </is>
      </c>
      <c r="D51" t="inlineStr">
        <is>
          <t>POLOS M/C</t>
        </is>
      </c>
      <c r="E51" t="inlineStr">
        <is>
          <t>NAVIGATA HOMBRE</t>
        </is>
      </c>
      <c r="F51" t="n">
        <v>41</v>
      </c>
      <c r="G51" t="n">
        <v>59.99</v>
      </c>
      <c r="H51" t="n">
        <v>19.99</v>
      </c>
      <c r="I51" t="n">
        <v>10.32</v>
      </c>
      <c r="J51" t="inlineStr">
        <is>
          <t>OI</t>
        </is>
      </c>
      <c r="K51" t="inlineStr">
        <is>
          <t>RANGO 9_12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R51">
        <f>IF(G298&gt;0,1-H298/G298,"")</f>
        <v/>
      </c>
      <c r="S51">
        <f>IF(G298&gt;0,(G298/1.18-I298)/(G298/1.18),"")</f>
        <v/>
      </c>
      <c r="T51">
        <f>IF(H298&gt;0,(H298/1.18-I298)/(H298/1.18),"")</f>
        <v/>
      </c>
      <c r="U51" t="inlineStr">
        <is>
          <t>NOOS</t>
        </is>
      </c>
      <c r="V51" t="n">
        <v>0</v>
      </c>
      <c r="W51" t="n">
        <v>0</v>
      </c>
    </row>
    <row r="52">
      <c r="A52" t="inlineStr">
        <is>
          <t>35822213</t>
        </is>
      </c>
      <c r="B52" t="inlineStr">
        <is>
          <t>PRODUCTO 6F25B5</t>
        </is>
      </c>
      <c r="C52" t="inlineStr">
        <is>
          <t>NAVIGATA</t>
        </is>
      </c>
      <c r="D52" t="inlineStr">
        <is>
          <t>POLOS M/C</t>
        </is>
      </c>
      <c r="E52" t="inlineStr">
        <is>
          <t>NAVIGATA HOMBRE</t>
        </is>
      </c>
      <c r="F52" t="n">
        <v>41</v>
      </c>
      <c r="G52" t="n">
        <v>59.99</v>
      </c>
      <c r="H52" t="n">
        <v>24.99</v>
      </c>
      <c r="I52" t="n">
        <v>11.81</v>
      </c>
      <c r="J52" t="inlineStr">
        <is>
          <t>OI</t>
        </is>
      </c>
      <c r="K52" t="inlineStr">
        <is>
          <t>RANGO 9_12</t>
        </is>
      </c>
      <c r="L52" t="n">
        <v>0</v>
      </c>
      <c r="M52" t="n">
        <v>3</v>
      </c>
      <c r="N52" t="n">
        <v>0</v>
      </c>
      <c r="O52" t="n">
        <v>2</v>
      </c>
      <c r="P52" t="n">
        <v>0</v>
      </c>
      <c r="R52">
        <f>IF(G299&gt;0,1-H299/G299,"")</f>
        <v/>
      </c>
      <c r="S52">
        <f>IF(G299&gt;0,(G299/1.18-I299)/(G299/1.18),"")</f>
        <v/>
      </c>
      <c r="T52">
        <f>IF(H299&gt;0,(H299/1.18-I299)/(H299/1.18),"")</f>
        <v/>
      </c>
      <c r="U52" t="inlineStr">
        <is>
          <t>NOOS</t>
        </is>
      </c>
      <c r="V52" t="n">
        <v>101.6</v>
      </c>
      <c r="W52" t="n">
        <v>42.65</v>
      </c>
      <c r="X52" t="n">
        <v>0.4198</v>
      </c>
    </row>
    <row r="53">
      <c r="A53" t="inlineStr">
        <is>
          <t>35856343</t>
        </is>
      </c>
      <c r="B53" t="inlineStr">
        <is>
          <t>PRODUCTO 5507EC</t>
        </is>
      </c>
      <c r="C53" t="inlineStr">
        <is>
          <t>OSCAR DE LA RENTA</t>
        </is>
      </c>
      <c r="D53" t="inlineStr">
        <is>
          <t>POLOS M/C</t>
        </is>
      </c>
      <c r="E53" t="inlineStr">
        <is>
          <t>MARCAS CASUAL INTERNACIONAL HOMBRE</t>
        </is>
      </c>
      <c r="F53" t="n">
        <v>0</v>
      </c>
      <c r="G53" t="n">
        <v>189.99</v>
      </c>
      <c r="H53" t="n">
        <v>57</v>
      </c>
      <c r="I53" t="n">
        <v>72.33</v>
      </c>
      <c r="J53" t="inlineStr">
        <is>
          <t>PV</t>
        </is>
      </c>
      <c r="K53" t="inlineStr">
        <is>
          <t>Sin Rango</t>
        </is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R53">
        <f>IF(G309&gt;0,1-H309/G309,"")</f>
        <v/>
      </c>
      <c r="S53">
        <f>IF(G309&gt;0,(G309/1.18-I309)/(G309/1.18),"")</f>
        <v/>
      </c>
      <c r="T53">
        <f>IF(H309&gt;0,(H309/1.18-I309)/(H309/1.18),"")</f>
        <v/>
      </c>
      <c r="U53" t="inlineStr">
        <is>
          <t>NOOS</t>
        </is>
      </c>
      <c r="V53" t="n">
        <v>96.62</v>
      </c>
      <c r="W53" t="n">
        <v>-48.04</v>
      </c>
      <c r="X53" t="n">
        <v>-0.4972</v>
      </c>
    </row>
    <row r="54">
      <c r="A54" t="inlineStr">
        <is>
          <t>35889756</t>
        </is>
      </c>
      <c r="B54" t="inlineStr">
        <is>
          <t>PRODUCTO 9D90A2</t>
        </is>
      </c>
      <c r="C54" t="inlineStr">
        <is>
          <t>OSCAR DE LA RENTA</t>
        </is>
      </c>
      <c r="D54" t="inlineStr">
        <is>
          <t>ACCESORIOS</t>
        </is>
      </c>
      <c r="E54" t="inlineStr">
        <is>
          <t>MARCAS CASUAL INTERNACIONAL HOMBRE</t>
        </is>
      </c>
      <c r="F54" t="n">
        <v>58</v>
      </c>
      <c r="G54" t="n">
        <v>69.98999999999999</v>
      </c>
      <c r="H54" t="n">
        <v>21</v>
      </c>
      <c r="I54" t="n">
        <v>0.45</v>
      </c>
      <c r="J54" t="inlineStr">
        <is>
          <t>TT</t>
        </is>
      </c>
      <c r="K54" t="inlineStr">
        <is>
          <t>RANGO 12_99</t>
        </is>
      </c>
      <c r="L54" t="n">
        <v>5</v>
      </c>
      <c r="M54" t="n">
        <v>0</v>
      </c>
      <c r="N54" t="n">
        <v>1</v>
      </c>
      <c r="O54" t="n">
        <v>0</v>
      </c>
      <c r="P54" t="n">
        <v>0</v>
      </c>
      <c r="R54">
        <f>IF(G323&gt;0,1-H323/G323,"")</f>
        <v/>
      </c>
      <c r="S54">
        <f>IF(G323&gt;0,(G323/1.18-I323)/(G323/1.18),"")</f>
        <v/>
      </c>
      <c r="T54">
        <f>IF(H323&gt;0,(H323/1.18-I323)/(H323/1.18),"")</f>
        <v/>
      </c>
      <c r="U54" t="inlineStr">
        <is>
          <t>NOOS</t>
        </is>
      </c>
      <c r="V54" t="n">
        <v>17.8</v>
      </c>
      <c r="W54" t="n">
        <v>17.35</v>
      </c>
      <c r="X54" t="n">
        <v>0.9747</v>
      </c>
    </row>
    <row r="55">
      <c r="A55" t="inlineStr">
        <is>
          <t>35937998</t>
        </is>
      </c>
      <c r="B55" t="inlineStr">
        <is>
          <t>PRODUCTO 52839B</t>
        </is>
      </c>
      <c r="C55" t="inlineStr">
        <is>
          <t>NORTON</t>
        </is>
      </c>
      <c r="D55" t="inlineStr">
        <is>
          <t>PANTALONES</t>
        </is>
      </c>
      <c r="E55" t="inlineStr">
        <is>
          <t>MARCAS CASUAL NACIONAL HOMBRE</t>
        </is>
      </c>
      <c r="F55" t="n">
        <v>6</v>
      </c>
      <c r="G55" t="n">
        <v>119.99</v>
      </c>
      <c r="H55" t="n">
        <v>119.99</v>
      </c>
      <c r="I55" t="n">
        <v>66.03</v>
      </c>
      <c r="J55" t="inlineStr">
        <is>
          <t>TT</t>
        </is>
      </c>
      <c r="K55" t="inlineStr">
        <is>
          <t>RANGO 0_3</t>
        </is>
      </c>
      <c r="L55" t="n">
        <v>41</v>
      </c>
      <c r="M55" t="n">
        <v>4</v>
      </c>
      <c r="N55" t="n">
        <v>2</v>
      </c>
      <c r="O55" t="n">
        <v>0</v>
      </c>
      <c r="P55" t="n">
        <v>4</v>
      </c>
      <c r="R55">
        <f>IF(G330&gt;0,1-H330/G330,"")</f>
        <v/>
      </c>
      <c r="S55">
        <f>IF(G330&gt;0,(G330/1.18-I330)/(G330/1.18),"")</f>
        <v/>
      </c>
      <c r="T55">
        <f>IF(H330&gt;0,(H330/1.18-I330)/(H330/1.18),"")</f>
        <v/>
      </c>
      <c r="U55" t="inlineStr">
        <is>
          <t>NOOS</t>
        </is>
      </c>
      <c r="V55" t="n">
        <v>1016.9</v>
      </c>
      <c r="W55" t="n">
        <v>356</v>
      </c>
      <c r="X55" t="n">
        <v>0.3501</v>
      </c>
    </row>
    <row r="56">
      <c r="A56" t="inlineStr">
        <is>
          <t>35950233</t>
        </is>
      </c>
      <c r="B56" t="inlineStr">
        <is>
          <t>PRODUCTO 384BBD</t>
        </is>
      </c>
      <c r="C56" t="inlineStr">
        <is>
          <t>NORTON</t>
        </is>
      </c>
      <c r="D56" t="inlineStr">
        <is>
          <t>CAMISAS M/L</t>
        </is>
      </c>
      <c r="E56" t="inlineStr">
        <is>
          <t>MARCAS CASUAL NACIONAL HOMBRE</t>
        </is>
      </c>
      <c r="F56" t="n">
        <v>6</v>
      </c>
      <c r="G56" t="n">
        <v>149.99</v>
      </c>
      <c r="H56" t="n">
        <v>149.99</v>
      </c>
      <c r="I56" t="n">
        <v>82.54000000000001</v>
      </c>
      <c r="J56" t="inlineStr">
        <is>
          <t>TT</t>
        </is>
      </c>
      <c r="K56" t="inlineStr">
        <is>
          <t>RANGO 0_3</t>
        </is>
      </c>
      <c r="L56" t="n">
        <v>54</v>
      </c>
      <c r="M56" t="n">
        <v>1</v>
      </c>
      <c r="N56" t="n">
        <v>0</v>
      </c>
      <c r="O56" t="n">
        <v>7</v>
      </c>
      <c r="P56" t="n">
        <v>4</v>
      </c>
      <c r="R56">
        <f>IF(G333&gt;0,1-H333/G333,"")</f>
        <v/>
      </c>
      <c r="S56">
        <f>IF(G333&gt;0,(G333/1.18-I333)/(G333/1.18),"")</f>
        <v/>
      </c>
      <c r="T56">
        <f>IF(H333&gt;0,(H333/1.18-I333)/(H333/1.18),"")</f>
        <v/>
      </c>
      <c r="U56" t="inlineStr">
        <is>
          <t>NOOS</t>
        </is>
      </c>
      <c r="V56" t="n">
        <v>1525.32</v>
      </c>
      <c r="W56" t="n">
        <v>533.88</v>
      </c>
      <c r="X56" t="n">
        <v>0.35</v>
      </c>
    </row>
    <row r="57">
      <c r="A57" t="inlineStr">
        <is>
          <t>36015918</t>
        </is>
      </c>
      <c r="B57" t="inlineStr">
        <is>
          <t>PRODUCTO 4F7674</t>
        </is>
      </c>
      <c r="C57" t="inlineStr">
        <is>
          <t>JOHN HOLDEN</t>
        </is>
      </c>
      <c r="D57" t="inlineStr">
        <is>
          <t>CAMISAS M/L</t>
        </is>
      </c>
      <c r="E57" t="inlineStr">
        <is>
          <t>MARCAS CASUAL NACIONAL HOMBRE</t>
        </is>
      </c>
      <c r="F57" t="n">
        <v>0</v>
      </c>
      <c r="G57" t="n">
        <v>149.9</v>
      </c>
      <c r="H57" t="n">
        <v>9.9</v>
      </c>
      <c r="I57" t="n">
        <v>51.85</v>
      </c>
      <c r="J57" t="inlineStr">
        <is>
          <t>PV</t>
        </is>
      </c>
      <c r="K57" t="inlineStr">
        <is>
          <t>Sin Rango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R57">
        <f>IF(G342&gt;0,1-H342/G342,"")</f>
        <v/>
      </c>
      <c r="S57">
        <f>IF(G342&gt;0,(G342/1.18-I342)/(G342/1.18),"")</f>
        <v/>
      </c>
      <c r="T57">
        <f>IF(H342&gt;0,(H342/1.18-I342)/(H342/1.18),"")</f>
        <v/>
      </c>
      <c r="U57" t="inlineStr">
        <is>
          <t>NOOS</t>
        </is>
      </c>
      <c r="V57" t="n">
        <v>0</v>
      </c>
      <c r="W57" t="n">
        <v>0</v>
      </c>
    </row>
    <row r="58">
      <c r="A58" t="inlineStr">
        <is>
          <t>36061195</t>
        </is>
      </c>
      <c r="B58" t="inlineStr">
        <is>
          <t>PRODUCTO E17A67</t>
        </is>
      </c>
      <c r="C58" t="inlineStr">
        <is>
          <t>DOCKERS</t>
        </is>
      </c>
      <c r="D58" t="inlineStr">
        <is>
          <t>ACCESORIOS</t>
        </is>
      </c>
      <c r="E58" t="inlineStr">
        <is>
          <t>MARCAS CASUAL NACIONAL HOMBRE</t>
        </is>
      </c>
      <c r="F58" t="n">
        <v>63</v>
      </c>
      <c r="G58" t="n">
        <v>129</v>
      </c>
      <c r="H58" t="n">
        <v>39.99</v>
      </c>
      <c r="I58" t="n">
        <v>65.59</v>
      </c>
      <c r="J58" t="inlineStr">
        <is>
          <t>TT</t>
        </is>
      </c>
      <c r="K58" t="inlineStr">
        <is>
          <t>RANGO 12_99</t>
        </is>
      </c>
      <c r="L58" t="n">
        <v>0</v>
      </c>
      <c r="M58" t="n">
        <v>0</v>
      </c>
      <c r="N58" t="n">
        <v>1</v>
      </c>
      <c r="O58" t="n">
        <v>2</v>
      </c>
      <c r="P58" t="n">
        <v>1</v>
      </c>
      <c r="R58">
        <f>IF(G348&gt;0,1-H348/G348,"")</f>
        <v/>
      </c>
      <c r="S58">
        <f>IF(G348&gt;0,(G348/1.18-I348)/(G348/1.18),"")</f>
        <v/>
      </c>
      <c r="T58">
        <f>IF(H348&gt;0,(H348/1.18-I348)/(H348/1.18),"")</f>
        <v/>
      </c>
      <c r="U58" t="inlineStr">
        <is>
          <t>NOOS</t>
        </is>
      </c>
      <c r="V58" t="n">
        <v>135.56</v>
      </c>
      <c r="W58" t="n">
        <v>-126.8</v>
      </c>
      <c r="X58" t="n">
        <v>-0.9354</v>
      </c>
    </row>
    <row r="59">
      <c r="A59" t="inlineStr">
        <is>
          <t>36160394</t>
        </is>
      </c>
      <c r="B59" t="inlineStr">
        <is>
          <t>PRODUCTO BF8967</t>
        </is>
      </c>
      <c r="C59" t="inlineStr">
        <is>
          <t>US POLO</t>
        </is>
      </c>
      <c r="D59" t="inlineStr">
        <is>
          <t>PANTALONES</t>
        </is>
      </c>
      <c r="E59" t="inlineStr">
        <is>
          <t>MARCAS CASUAL INTERNACIONAL HOMBRE</t>
        </is>
      </c>
      <c r="F59" t="n">
        <v>12</v>
      </c>
      <c r="G59" t="n">
        <v>179.99</v>
      </c>
      <c r="H59" t="n">
        <v>89.98999999999999</v>
      </c>
      <c r="I59" t="n">
        <v>66.92</v>
      </c>
      <c r="J59" t="inlineStr">
        <is>
          <t>OI</t>
        </is>
      </c>
      <c r="K59" t="inlineStr">
        <is>
          <t>RANGO 0_3</t>
        </is>
      </c>
      <c r="L59" t="n">
        <v>0</v>
      </c>
      <c r="M59" t="n">
        <v>15</v>
      </c>
      <c r="N59" t="n">
        <v>6</v>
      </c>
      <c r="O59" t="n">
        <v>9</v>
      </c>
      <c r="P59" t="n">
        <v>8</v>
      </c>
      <c r="R59">
        <f>IF(G370&gt;0,1-H370/G370,"")</f>
        <v/>
      </c>
      <c r="S59">
        <f>IF(G370&gt;0,(G370/1.18-I370)/(G370/1.18),"")</f>
        <v/>
      </c>
      <c r="T59">
        <f>IF(H370&gt;0,(H370/1.18-I370)/(H370/1.18),"")</f>
        <v/>
      </c>
      <c r="U59" t="inlineStr">
        <is>
          <t>NOOS</t>
        </is>
      </c>
      <c r="V59" t="n">
        <v>3257.52</v>
      </c>
      <c r="W59" t="n">
        <v>776.12</v>
      </c>
      <c r="X59" t="n">
        <v>0.2383</v>
      </c>
    </row>
    <row r="60">
      <c r="A60" t="inlineStr">
        <is>
          <t>36162566</t>
        </is>
      </c>
      <c r="B60" t="inlineStr">
        <is>
          <t>PRODUCTO 526667</t>
        </is>
      </c>
      <c r="C60" t="inlineStr">
        <is>
          <t>NAVIGATA</t>
        </is>
      </c>
      <c r="D60" t="inlineStr">
        <is>
          <t>CAMISAS M/L</t>
        </is>
      </c>
      <c r="E60" t="inlineStr">
        <is>
          <t>NAVIGATA HOMBRE</t>
        </is>
      </c>
      <c r="F60" t="n">
        <v>33</v>
      </c>
      <c r="G60" t="n">
        <v>119.99</v>
      </c>
      <c r="H60" t="n">
        <v>49.99</v>
      </c>
      <c r="I60" t="n">
        <v>28.84</v>
      </c>
      <c r="J60" t="inlineStr">
        <is>
          <t>OI</t>
        </is>
      </c>
      <c r="K60" t="inlineStr">
        <is>
          <t>RANGO 6_9</t>
        </is>
      </c>
      <c r="L60" t="n">
        <v>0</v>
      </c>
      <c r="M60" t="n">
        <v>1</v>
      </c>
      <c r="N60" t="n">
        <v>5</v>
      </c>
      <c r="O60" t="n">
        <v>12</v>
      </c>
      <c r="P60" t="n">
        <v>4</v>
      </c>
      <c r="R60">
        <f>IF(G377&gt;0,1-H377/G377,"")</f>
        <v/>
      </c>
      <c r="S60">
        <f>IF(G377&gt;0,(G377/1.18-I377)/(G377/1.18),"")</f>
        <v/>
      </c>
      <c r="T60">
        <f>IF(H377&gt;0,(H377/1.18-I377)/(H377/1.18),"")</f>
        <v/>
      </c>
      <c r="U60" t="inlineStr">
        <is>
          <t>NOOS</t>
        </is>
      </c>
      <c r="V60" t="n">
        <v>923.55</v>
      </c>
      <c r="W60" t="n">
        <v>289.17</v>
      </c>
      <c r="X60" t="n">
        <v>0.3131</v>
      </c>
    </row>
    <row r="61">
      <c r="A61" t="inlineStr">
        <is>
          <t>36165361</t>
        </is>
      </c>
      <c r="B61" t="inlineStr">
        <is>
          <t>PRODUCTO 2DEC5E</t>
        </is>
      </c>
      <c r="C61" t="inlineStr">
        <is>
          <t>US POLO</t>
        </is>
      </c>
      <c r="D61" t="inlineStr">
        <is>
          <t>POLOS M/C</t>
        </is>
      </c>
      <c r="E61" t="inlineStr">
        <is>
          <t>MARCAS CASUAL INTERNACIONAL HOMBRE</t>
        </is>
      </c>
      <c r="F61" t="n">
        <v>30</v>
      </c>
      <c r="G61" t="n">
        <v>189.99</v>
      </c>
      <c r="H61" t="n">
        <v>132.99</v>
      </c>
      <c r="I61" t="n">
        <v>56.48</v>
      </c>
      <c r="J61" t="inlineStr">
        <is>
          <t>OI</t>
        </is>
      </c>
      <c r="K61" t="inlineStr">
        <is>
          <t>RANGO 6_9</t>
        </is>
      </c>
      <c r="L61" t="n">
        <v>0</v>
      </c>
      <c r="M61" t="n">
        <v>5</v>
      </c>
      <c r="N61" t="n">
        <v>1</v>
      </c>
      <c r="O61" t="n">
        <v>14</v>
      </c>
      <c r="P61" t="n">
        <v>8</v>
      </c>
      <c r="R61">
        <f>IF(G385&gt;0,1-H385/G385,"")</f>
        <v/>
      </c>
      <c r="S61">
        <f>IF(G385&gt;0,(G385/1.18-I385)/(G385/1.18),"")</f>
        <v/>
      </c>
      <c r="T61">
        <f>IF(H385&gt;0,(H385/1.18-I385)/(H385/1.18),"")</f>
        <v/>
      </c>
      <c r="U61" t="inlineStr">
        <is>
          <t>NOOS</t>
        </is>
      </c>
      <c r="V61" t="n">
        <v>3007.67</v>
      </c>
      <c r="W61" t="n">
        <v>1426.23</v>
      </c>
      <c r="X61" t="n">
        <v>0.4742</v>
      </c>
    </row>
    <row r="62">
      <c r="A62" t="inlineStr">
        <is>
          <t>36179757</t>
        </is>
      </c>
      <c r="B62" t="inlineStr">
        <is>
          <t>PRODUCTO 146637</t>
        </is>
      </c>
      <c r="C62" t="inlineStr">
        <is>
          <t>OSCAR DE LA RENTA</t>
        </is>
      </c>
      <c r="D62" t="inlineStr">
        <is>
          <t>PANTALONES</t>
        </is>
      </c>
      <c r="E62" t="inlineStr">
        <is>
          <t>MARCAS CASUAL INTERNACIONAL HOMBRE</t>
        </is>
      </c>
      <c r="F62" t="n">
        <v>46</v>
      </c>
      <c r="G62" t="n">
        <v>229.99</v>
      </c>
      <c r="H62" t="n">
        <v>79.98999999999999</v>
      </c>
      <c r="I62" t="n">
        <v>87.26000000000001</v>
      </c>
      <c r="J62" t="inlineStr">
        <is>
          <t>TT</t>
        </is>
      </c>
      <c r="K62" t="inlineStr">
        <is>
          <t>RANGO 9_12</t>
        </is>
      </c>
      <c r="L62" t="n">
        <v>0</v>
      </c>
      <c r="M62" t="n">
        <v>4</v>
      </c>
      <c r="N62" t="n">
        <v>4</v>
      </c>
      <c r="O62" t="n">
        <v>3</v>
      </c>
      <c r="P62" t="n">
        <v>1</v>
      </c>
      <c r="R62">
        <f>IF(G399&gt;0,1-H399/G399,"")</f>
        <v/>
      </c>
      <c r="S62">
        <f>IF(G399&gt;0,(G399/1.18-I399)/(G399/1.18),"")</f>
        <v/>
      </c>
      <c r="T62">
        <f>IF(H399&gt;0,(H399/1.18-I399)/(H399/1.18),"")</f>
        <v/>
      </c>
      <c r="U62" t="inlineStr">
        <is>
          <t>NOOS</t>
        </is>
      </c>
      <c r="V62" t="n">
        <v>813.4299999999999</v>
      </c>
      <c r="W62" t="n">
        <v>-252.59</v>
      </c>
      <c r="X62" t="n">
        <v>-0.3105</v>
      </c>
    </row>
    <row r="63">
      <c r="A63" t="inlineStr">
        <is>
          <t>36190703</t>
        </is>
      </c>
      <c r="B63" t="inlineStr">
        <is>
          <t>PRODUCTO 36D3D6</t>
        </is>
      </c>
      <c r="C63" t="inlineStr">
        <is>
          <t>NAVIGATA</t>
        </is>
      </c>
      <c r="D63" t="inlineStr">
        <is>
          <t>CASACAS</t>
        </is>
      </c>
      <c r="E63" t="inlineStr">
        <is>
          <t>NAVIGATA HOMBRE</t>
        </is>
      </c>
      <c r="F63" t="n">
        <v>27</v>
      </c>
      <c r="G63" t="n">
        <v>249.99</v>
      </c>
      <c r="H63" t="n">
        <v>79.98999999999999</v>
      </c>
      <c r="I63" t="n">
        <v>60.44</v>
      </c>
      <c r="J63" t="inlineStr">
        <is>
          <t>OI</t>
        </is>
      </c>
      <c r="K63" t="inlineStr">
        <is>
          <t>RANGO 6_9</t>
        </is>
      </c>
      <c r="L63" t="n">
        <v>6</v>
      </c>
      <c r="M63" t="n">
        <v>3</v>
      </c>
      <c r="N63" t="n">
        <v>5</v>
      </c>
      <c r="O63" t="n">
        <v>3</v>
      </c>
      <c r="P63" t="n">
        <v>5</v>
      </c>
      <c r="R63">
        <f>IF(G410&gt;0,1-H410/G410,"")</f>
        <v/>
      </c>
      <c r="S63">
        <f>IF(G410&gt;0,(G410/1.18-I410)/(G410/1.18),"")</f>
        <v/>
      </c>
      <c r="T63">
        <f>IF(H410&gt;0,(H410/1.18-I410)/(H410/1.18),"")</f>
        <v/>
      </c>
      <c r="U63" t="inlineStr">
        <is>
          <t>NOOS</t>
        </is>
      </c>
      <c r="V63" t="n">
        <v>1092.19</v>
      </c>
      <c r="W63" t="n">
        <v>125.43</v>
      </c>
      <c r="X63" t="n">
        <v>0.1148</v>
      </c>
    </row>
    <row r="64">
      <c r="A64" t="inlineStr">
        <is>
          <t>36195449</t>
        </is>
      </c>
      <c r="B64" t="inlineStr">
        <is>
          <t>PRODUCTO F53B82</t>
        </is>
      </c>
      <c r="C64" t="inlineStr">
        <is>
          <t>MARQUIS</t>
        </is>
      </c>
      <c r="D64" t="inlineStr">
        <is>
          <t>CAMISAS M/L</t>
        </is>
      </c>
      <c r="E64" t="inlineStr">
        <is>
          <t>MARQUIS HOMBRE</t>
        </is>
      </c>
      <c r="F64" t="n">
        <v>30</v>
      </c>
      <c r="G64" t="n">
        <v>129.99</v>
      </c>
      <c r="H64" t="n">
        <v>65</v>
      </c>
      <c r="I64" t="n">
        <v>27.66</v>
      </c>
      <c r="J64" t="inlineStr">
        <is>
          <t>OI</t>
        </is>
      </c>
      <c r="K64" t="inlineStr">
        <is>
          <t>RANGO 6_9</t>
        </is>
      </c>
      <c r="L64" t="n">
        <v>17</v>
      </c>
      <c r="M64" t="n">
        <v>9</v>
      </c>
      <c r="N64" t="n">
        <v>12</v>
      </c>
      <c r="O64" t="n">
        <v>9</v>
      </c>
      <c r="P64" t="n">
        <v>21</v>
      </c>
      <c r="R64">
        <f>IF(G415&gt;0,1-H415/G415,"")</f>
        <v/>
      </c>
      <c r="S64">
        <f>IF(G415&gt;0,(G415/1.18-I415)/(G415/1.18),"")</f>
        <v/>
      </c>
      <c r="T64">
        <f>IF(H415&gt;0,(H415/1.18-I415)/(H415/1.18),"")</f>
        <v/>
      </c>
      <c r="U64" t="inlineStr">
        <is>
          <t>NOOS</t>
        </is>
      </c>
      <c r="V64" t="n">
        <v>2742.92</v>
      </c>
      <c r="W64" t="n">
        <v>1331.93</v>
      </c>
      <c r="X64" t="n">
        <v>0.4856</v>
      </c>
    </row>
    <row r="65">
      <c r="A65" t="inlineStr">
        <is>
          <t>36195514</t>
        </is>
      </c>
      <c r="B65" t="inlineStr">
        <is>
          <t>PRODUCTO 331399</t>
        </is>
      </c>
      <c r="C65" t="inlineStr">
        <is>
          <t>NAVIGATA</t>
        </is>
      </c>
      <c r="D65" t="inlineStr">
        <is>
          <t>CAMISAS M/L</t>
        </is>
      </c>
      <c r="E65" t="inlineStr">
        <is>
          <t>NAVIGATA HOMBRE</t>
        </is>
      </c>
      <c r="F65" t="n">
        <v>33</v>
      </c>
      <c r="G65" t="n">
        <v>119.99</v>
      </c>
      <c r="H65" t="n">
        <v>49.99</v>
      </c>
      <c r="I65" t="n">
        <v>25.13</v>
      </c>
      <c r="J65" t="inlineStr">
        <is>
          <t>OI</t>
        </is>
      </c>
      <c r="K65" t="inlineStr">
        <is>
          <t>RANGO 6_9</t>
        </is>
      </c>
      <c r="L65" t="n">
        <v>0</v>
      </c>
      <c r="M65" t="n">
        <v>7</v>
      </c>
      <c r="N65" t="n">
        <v>4</v>
      </c>
      <c r="O65" t="n">
        <v>9</v>
      </c>
      <c r="P65" t="n">
        <v>15</v>
      </c>
      <c r="R65">
        <f>IF(G420&gt;0,1-H420/G420,"")</f>
        <v/>
      </c>
      <c r="S65">
        <f>IF(G420&gt;0,(G420/1.18-I420)/(G420/1.18),"")</f>
        <v/>
      </c>
      <c r="T65">
        <f>IF(H420&gt;0,(H420/1.18-I420)/(H420/1.18),"")</f>
        <v/>
      </c>
      <c r="U65" t="inlineStr">
        <is>
          <t>NOOS</t>
        </is>
      </c>
      <c r="V65" t="n">
        <v>1389.04</v>
      </c>
      <c r="W65" t="n">
        <v>508.7</v>
      </c>
      <c r="X65" t="n">
        <v>0.3662</v>
      </c>
    </row>
    <row r="66">
      <c r="A66" t="inlineStr">
        <is>
          <t>36195519</t>
        </is>
      </c>
      <c r="B66" t="inlineStr">
        <is>
          <t>PRODUCTO 6177EF</t>
        </is>
      </c>
      <c r="C66" t="inlineStr">
        <is>
          <t>MARQUIS</t>
        </is>
      </c>
      <c r="D66" t="inlineStr">
        <is>
          <t>CAMISAS M/L</t>
        </is>
      </c>
      <c r="E66" t="inlineStr">
        <is>
          <t>MARQUIS HOMBRE</t>
        </is>
      </c>
      <c r="F66" t="n">
        <v>33</v>
      </c>
      <c r="G66" t="n">
        <v>129.99</v>
      </c>
      <c r="H66" t="n">
        <v>39.99</v>
      </c>
      <c r="I66" t="n">
        <v>25.67</v>
      </c>
      <c r="J66" t="inlineStr">
        <is>
          <t>OI</t>
        </is>
      </c>
      <c r="K66" t="inlineStr">
        <is>
          <t>RANGO 6_9</t>
        </is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R66">
        <f>IF(G421&gt;0,1-H421/G421,"")</f>
        <v/>
      </c>
      <c r="S66">
        <f>IF(G421&gt;0,(G421/1.18-I421)/(G421/1.18),"")</f>
        <v/>
      </c>
      <c r="T66">
        <f>IF(H421&gt;0,(H421/1.18-I421)/(H421/1.18),"")</f>
        <v/>
      </c>
      <c r="U66" t="inlineStr">
        <is>
          <t>NOOS</t>
        </is>
      </c>
      <c r="V66" t="n">
        <v>101.63</v>
      </c>
      <c r="W66" t="n">
        <v>24.55</v>
      </c>
      <c r="X66" t="n">
        <v>0.2416</v>
      </c>
    </row>
    <row r="67">
      <c r="A67" t="inlineStr">
        <is>
          <t>36198143</t>
        </is>
      </c>
      <c r="B67" t="inlineStr">
        <is>
          <t>PRODUCTO 2AD39D</t>
        </is>
      </c>
      <c r="C67" t="inlineStr">
        <is>
          <t>MARQUIS</t>
        </is>
      </c>
      <c r="D67" t="inlineStr">
        <is>
          <t>ACCESORIOS</t>
        </is>
      </c>
      <c r="E67" t="inlineStr">
        <is>
          <t>MARQUIS HOMBRE</t>
        </is>
      </c>
      <c r="F67" t="n">
        <v>8</v>
      </c>
      <c r="G67" t="n">
        <v>49.99</v>
      </c>
      <c r="H67" t="n">
        <v>39.99</v>
      </c>
      <c r="I67" t="n">
        <v>23.3</v>
      </c>
      <c r="J67" t="inlineStr">
        <is>
          <t>TT</t>
        </is>
      </c>
      <c r="K67" t="inlineStr">
        <is>
          <t>RANGO 0_3</t>
        </is>
      </c>
      <c r="L67" t="n">
        <v>4</v>
      </c>
      <c r="M67" t="n">
        <v>5</v>
      </c>
      <c r="N67" t="n">
        <v>9</v>
      </c>
      <c r="O67" t="n">
        <v>4</v>
      </c>
      <c r="P67" t="n">
        <v>7</v>
      </c>
      <c r="R67">
        <f>IF(G432&gt;0,1-H432/G432,"")</f>
        <v/>
      </c>
      <c r="S67">
        <f>IF(G432&gt;0,(G432/1.18-I432)/(G432/1.18),"")</f>
        <v/>
      </c>
      <c r="T67">
        <f>IF(H432&gt;0,(H432/1.18-I432)/(H432/1.18),"")</f>
        <v/>
      </c>
      <c r="U67" t="inlineStr">
        <is>
          <t>NOOS</t>
        </is>
      </c>
      <c r="V67" t="n">
        <v>914.8200000000001</v>
      </c>
      <c r="W67" t="n">
        <v>411.63</v>
      </c>
      <c r="X67" t="n">
        <v>0.45</v>
      </c>
    </row>
    <row r="68">
      <c r="A68" t="inlineStr">
        <is>
          <t>36198237</t>
        </is>
      </c>
      <c r="B68" t="inlineStr">
        <is>
          <t>PRODUCTO 7F39F2</t>
        </is>
      </c>
      <c r="C68" t="inlineStr">
        <is>
          <t>CACHAREL</t>
        </is>
      </c>
      <c r="D68" t="inlineStr">
        <is>
          <t>CAMISAS M/L</t>
        </is>
      </c>
      <c r="E68" t="inlineStr">
        <is>
          <t>CACHAREL HOMBRE</t>
        </is>
      </c>
      <c r="F68" t="n">
        <v>32</v>
      </c>
      <c r="G68" t="n">
        <v>129.99</v>
      </c>
      <c r="H68" t="n">
        <v>49.99</v>
      </c>
      <c r="I68" t="n">
        <v>25.69</v>
      </c>
      <c r="J68" t="inlineStr">
        <is>
          <t>OI</t>
        </is>
      </c>
      <c r="K68" t="inlineStr">
        <is>
          <t>RANGO 6_9</t>
        </is>
      </c>
      <c r="L68" t="n">
        <v>0</v>
      </c>
      <c r="M68" t="n">
        <v>3</v>
      </c>
      <c r="N68" t="n">
        <v>2</v>
      </c>
      <c r="O68" t="n">
        <v>2</v>
      </c>
      <c r="P68" t="n">
        <v>6</v>
      </c>
      <c r="R68">
        <f>IF(G444&gt;0,1-H444/G444,"")</f>
        <v/>
      </c>
      <c r="S68">
        <f>IF(G444&gt;0,(G444/1.18-I444)/(G444/1.18),"")</f>
        <v/>
      </c>
      <c r="T68">
        <f>IF(H444&gt;0,(H444/1.18-I444)/(H444/1.18),"")</f>
        <v/>
      </c>
      <c r="U68" t="inlineStr">
        <is>
          <t>NOOS</t>
        </is>
      </c>
      <c r="V68" t="n">
        <v>491.71</v>
      </c>
      <c r="W68" t="n">
        <v>157.48</v>
      </c>
      <c r="X68" t="n">
        <v>0.3203</v>
      </c>
    </row>
    <row r="69">
      <c r="A69" t="inlineStr">
        <is>
          <t>36200819</t>
        </is>
      </c>
      <c r="B69" t="inlineStr">
        <is>
          <t>PRODUCTO 459D32</t>
        </is>
      </c>
      <c r="C69" t="inlineStr">
        <is>
          <t>CACHAREL</t>
        </is>
      </c>
      <c r="D69" t="inlineStr">
        <is>
          <t>CASACAS</t>
        </is>
      </c>
      <c r="E69" t="inlineStr">
        <is>
          <t>CACHAREL HOMBRE</t>
        </is>
      </c>
      <c r="F69" t="n">
        <v>31</v>
      </c>
      <c r="G69" t="n">
        <v>179.99</v>
      </c>
      <c r="H69" t="n">
        <v>49.99</v>
      </c>
      <c r="I69" t="n">
        <v>39.81</v>
      </c>
      <c r="J69" t="inlineStr">
        <is>
          <t>OI</t>
        </is>
      </c>
      <c r="K69" t="inlineStr">
        <is>
          <t>RANGO 6_9</t>
        </is>
      </c>
      <c r="L69" t="n">
        <v>0</v>
      </c>
      <c r="M69" t="n">
        <v>11</v>
      </c>
      <c r="N69" t="n">
        <v>12</v>
      </c>
      <c r="O69" t="n">
        <v>6</v>
      </c>
      <c r="P69" t="n">
        <v>9</v>
      </c>
      <c r="R69">
        <f>IF(G451&gt;0,1-H451/G451,"")</f>
        <v/>
      </c>
      <c r="S69">
        <f>IF(G451&gt;0,(G451/1.18-I451)/(G451/1.18),"")</f>
        <v/>
      </c>
      <c r="T69">
        <f>IF(H451&gt;0,(H451/1.18-I451)/(H451/1.18),"")</f>
        <v/>
      </c>
      <c r="U69" t="inlineStr">
        <is>
          <t>NOOS</t>
        </is>
      </c>
      <c r="V69" t="n">
        <v>1715.98</v>
      </c>
      <c r="W69" t="n">
        <v>203.01</v>
      </c>
      <c r="X69" t="n">
        <v>0.1183</v>
      </c>
    </row>
    <row r="70">
      <c r="A70" t="inlineStr">
        <is>
          <t>36205813</t>
        </is>
      </c>
      <c r="B70" t="inlineStr">
        <is>
          <t>PRODUCTO F7B07E</t>
        </is>
      </c>
      <c r="C70" t="inlineStr">
        <is>
          <t>MARQUIS</t>
        </is>
      </c>
      <c r="D70" t="inlineStr">
        <is>
          <t>CASACAS</t>
        </is>
      </c>
      <c r="E70" t="inlineStr">
        <is>
          <t>MARQUIS HOMBRE</t>
        </is>
      </c>
      <c r="F70" t="n">
        <v>32</v>
      </c>
      <c r="G70" t="n">
        <v>329.99</v>
      </c>
      <c r="H70" t="n">
        <v>69.98999999999999</v>
      </c>
      <c r="I70" t="n">
        <v>62.36</v>
      </c>
      <c r="J70" t="inlineStr">
        <is>
          <t>OI</t>
        </is>
      </c>
      <c r="K70" t="inlineStr">
        <is>
          <t>RANGO 6_9</t>
        </is>
      </c>
      <c r="L70" t="n">
        <v>0</v>
      </c>
      <c r="M70" t="n">
        <v>7</v>
      </c>
      <c r="N70" t="n">
        <v>3</v>
      </c>
      <c r="O70" t="n">
        <v>7</v>
      </c>
      <c r="P70" t="n">
        <v>3</v>
      </c>
      <c r="R70">
        <f>IF(G454&gt;0,1-H454/G454,"")</f>
        <v/>
      </c>
      <c r="S70">
        <f>IF(G454&gt;0,(G454/1.18-I454)/(G454/1.18),"")</f>
        <v/>
      </c>
      <c r="T70">
        <f>IF(H454&gt;0,(H454/1.18-I454)/(H454/1.18),"")</f>
        <v/>
      </c>
      <c r="U70" t="inlineStr">
        <is>
          <t>NOOS</t>
        </is>
      </c>
      <c r="V70" t="n">
        <v>1503.94</v>
      </c>
      <c r="W70" t="n">
        <v>256.35</v>
      </c>
      <c r="X70" t="n">
        <v>0.1705</v>
      </c>
    </row>
    <row r="71">
      <c r="A71" t="inlineStr">
        <is>
          <t>36206622</t>
        </is>
      </c>
      <c r="B71" t="inlineStr">
        <is>
          <t>PRODUCTO 21B794</t>
        </is>
      </c>
      <c r="C71" t="inlineStr">
        <is>
          <t>PIERRE CARDIN</t>
        </is>
      </c>
      <c r="D71" t="inlineStr">
        <is>
          <t>POLOS M/C</t>
        </is>
      </c>
      <c r="E71" t="inlineStr">
        <is>
          <t>MARCAS CASUAL NACIONAL HOMBRE</t>
        </is>
      </c>
      <c r="F71" t="n">
        <v>9</v>
      </c>
      <c r="G71" t="n">
        <v>189</v>
      </c>
      <c r="H71" t="n">
        <v>189</v>
      </c>
      <c r="I71" t="n">
        <v>93.09</v>
      </c>
      <c r="J71" t="inlineStr">
        <is>
          <t>PV</t>
        </is>
      </c>
      <c r="K71" t="inlineStr">
        <is>
          <t>RANGO 0_3</t>
        </is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R71">
        <f>IF(G456&gt;0,1-H456/G456,"")</f>
        <v/>
      </c>
      <c r="S71">
        <f>IF(G456&gt;0,(G456/1.18-I456)/(G456/1.18),"")</f>
        <v/>
      </c>
      <c r="T71">
        <f>IF(H456&gt;0,(H456/1.18-I456)/(H456/1.18),"")</f>
        <v/>
      </c>
      <c r="U71" t="inlineStr">
        <is>
          <t>NOOS</t>
        </is>
      </c>
      <c r="V71" t="n">
        <v>160.16</v>
      </c>
      <c r="W71" t="n">
        <v>56.04</v>
      </c>
      <c r="X71" t="n">
        <v>0.3499</v>
      </c>
    </row>
    <row r="72">
      <c r="A72" t="inlineStr">
        <is>
          <t>36206674</t>
        </is>
      </c>
      <c r="B72" t="inlineStr">
        <is>
          <t>PRODUCTO 87B612</t>
        </is>
      </c>
      <c r="C72" t="inlineStr">
        <is>
          <t>PIERRE CARDIN</t>
        </is>
      </c>
      <c r="D72" t="inlineStr">
        <is>
          <t>POLOS M/C</t>
        </is>
      </c>
      <c r="E72" t="inlineStr">
        <is>
          <t>MARCAS CASUAL NACIONAL HOMBRE</t>
        </is>
      </c>
      <c r="F72" t="n">
        <v>9</v>
      </c>
      <c r="G72" t="n">
        <v>189</v>
      </c>
      <c r="H72" t="n">
        <v>189</v>
      </c>
      <c r="I72" t="n">
        <v>93.09</v>
      </c>
      <c r="J72" t="inlineStr">
        <is>
          <t>PV</t>
        </is>
      </c>
      <c r="K72" t="inlineStr">
        <is>
          <t>RANGO 0_3</t>
        </is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R72">
        <f>IF(G458&gt;0,1-H458/G458,"")</f>
        <v/>
      </c>
      <c r="S72">
        <f>IF(G458&gt;0,(G458/1.18-I458)/(G458/1.18),"")</f>
        <v/>
      </c>
      <c r="T72">
        <f>IF(H458&gt;0,(H458/1.18-I458)/(H458/1.18),"")</f>
        <v/>
      </c>
      <c r="U72" t="inlineStr">
        <is>
          <t>NOOS</t>
        </is>
      </c>
      <c r="V72" t="n">
        <v>80.08</v>
      </c>
      <c r="W72" t="n">
        <v>28.02</v>
      </c>
      <c r="X72" t="n">
        <v>0.3499</v>
      </c>
    </row>
    <row r="73">
      <c r="A73" t="inlineStr">
        <is>
          <t>36206695</t>
        </is>
      </c>
      <c r="B73" t="inlineStr">
        <is>
          <t>PRODUCTO 4CAA88</t>
        </is>
      </c>
      <c r="C73" t="inlineStr">
        <is>
          <t>PIERRE CARDIN</t>
        </is>
      </c>
      <c r="D73" t="inlineStr">
        <is>
          <t>POLOS M/C</t>
        </is>
      </c>
      <c r="E73" t="inlineStr">
        <is>
          <t>MARCAS CASUAL NACIONAL HOMBRE</t>
        </is>
      </c>
      <c r="F73" t="n">
        <v>9</v>
      </c>
      <c r="G73" t="n">
        <v>229</v>
      </c>
      <c r="H73" t="n">
        <v>229</v>
      </c>
      <c r="I73" t="n">
        <v>93.09</v>
      </c>
      <c r="J73" t="inlineStr">
        <is>
          <t>PV</t>
        </is>
      </c>
      <c r="K73" t="inlineStr">
        <is>
          <t>RANGO 0_3</t>
        </is>
      </c>
      <c r="L73" t="n">
        <v>0</v>
      </c>
      <c r="M73" t="n">
        <v>1</v>
      </c>
      <c r="N73" t="n">
        <v>0</v>
      </c>
      <c r="O73" t="n">
        <v>0</v>
      </c>
      <c r="P73" t="n">
        <v>2</v>
      </c>
      <c r="R73">
        <f>IF(G459&gt;0,1-H459/G459,"")</f>
        <v/>
      </c>
      <c r="S73">
        <f>IF(G459&gt;0,(G459/1.18-I459)/(G459/1.18),"")</f>
        <v/>
      </c>
      <c r="T73">
        <f>IF(H459&gt;0,(H459/1.18-I459)/(H459/1.18),"")</f>
        <v/>
      </c>
      <c r="U73" t="inlineStr">
        <is>
          <t>NOOS</t>
        </is>
      </c>
      <c r="V73" t="n">
        <v>291.09</v>
      </c>
      <c r="W73" t="n">
        <v>101.85</v>
      </c>
      <c r="X73" t="n">
        <v>0.3499</v>
      </c>
    </row>
    <row r="74">
      <c r="A74" t="inlineStr">
        <is>
          <t>36210326</t>
        </is>
      </c>
      <c r="B74" t="inlineStr">
        <is>
          <t>PRODUCTO C68242</t>
        </is>
      </c>
      <c r="C74" t="inlineStr">
        <is>
          <t>MARQUIS</t>
        </is>
      </c>
      <c r="D74" t="inlineStr">
        <is>
          <t>PANTALONES</t>
        </is>
      </c>
      <c r="E74" t="inlineStr">
        <is>
          <t>MARQUIS HOMBRE</t>
        </is>
      </c>
      <c r="F74" t="n">
        <v>31</v>
      </c>
      <c r="G74" t="n">
        <v>149.99</v>
      </c>
      <c r="H74" t="n">
        <v>75</v>
      </c>
      <c r="I74" t="n">
        <v>40.88</v>
      </c>
      <c r="J74" t="inlineStr">
        <is>
          <t>OI</t>
        </is>
      </c>
      <c r="K74" t="inlineStr">
        <is>
          <t>RANGO 6_9</t>
        </is>
      </c>
      <c r="L74" t="n">
        <v>4</v>
      </c>
      <c r="M74" t="n">
        <v>13</v>
      </c>
      <c r="N74" t="n">
        <v>19</v>
      </c>
      <c r="O74" t="n">
        <v>15</v>
      </c>
      <c r="P74" t="n">
        <v>19</v>
      </c>
      <c r="R74">
        <f>IF(G460&gt;0,1-H460/G460,"")</f>
        <v/>
      </c>
      <c r="S74">
        <f>IF(G460&gt;0,(G460/1.18-I460)/(G460/1.18),"")</f>
        <v/>
      </c>
      <c r="T74">
        <f>IF(H460&gt;0,(H460/1.18-I460)/(H460/1.18),"")</f>
        <v/>
      </c>
      <c r="U74" t="inlineStr">
        <is>
          <t>NOOS</t>
        </is>
      </c>
      <c r="V74" t="n">
        <v>3840.06</v>
      </c>
      <c r="W74" t="n">
        <v>1141.7</v>
      </c>
      <c r="X74" t="n">
        <v>0.2973</v>
      </c>
    </row>
    <row r="75">
      <c r="A75" t="inlineStr">
        <is>
          <t>36244264</t>
        </is>
      </c>
      <c r="B75" t="inlineStr">
        <is>
          <t>PRODUCTO EF35DB</t>
        </is>
      </c>
      <c r="C75" t="inlineStr">
        <is>
          <t>NAVIGATA</t>
        </is>
      </c>
      <c r="D75" t="inlineStr">
        <is>
          <t>POLOS M/C</t>
        </is>
      </c>
      <c r="E75" t="inlineStr">
        <is>
          <t>NAVIGATA HOMBRE</t>
        </is>
      </c>
      <c r="F75" t="n">
        <v>37</v>
      </c>
      <c r="G75" t="n">
        <v>109.99</v>
      </c>
      <c r="H75" t="n">
        <v>29.99</v>
      </c>
      <c r="I75" t="n">
        <v>25.97</v>
      </c>
      <c r="J75" t="inlineStr">
        <is>
          <t>OI</t>
        </is>
      </c>
      <c r="K75" t="inlineStr">
        <is>
          <t>RANGO 6_9</t>
        </is>
      </c>
      <c r="L75" t="n">
        <v>0</v>
      </c>
      <c r="M75" t="n">
        <v>7</v>
      </c>
      <c r="N75" t="n">
        <v>7</v>
      </c>
      <c r="O75" t="n">
        <v>11</v>
      </c>
      <c r="P75" t="n">
        <v>10</v>
      </c>
      <c r="R75">
        <f>IF(G469&gt;0,1-H469/G469,"")</f>
        <v/>
      </c>
      <c r="S75">
        <f>IF(G469&gt;0,(G469/1.18-I469)/(G469/1.18),"")</f>
        <v/>
      </c>
      <c r="T75">
        <f>IF(H469&gt;0,(H469/1.18-I469)/(H469/1.18),"")</f>
        <v/>
      </c>
      <c r="U75" t="inlineStr">
        <is>
          <t>NOOS</t>
        </is>
      </c>
      <c r="V75" t="n">
        <v>871.3099999999999</v>
      </c>
      <c r="W75" t="n">
        <v>-37.66</v>
      </c>
      <c r="X75" t="n">
        <v>-0.0432</v>
      </c>
    </row>
    <row r="76">
      <c r="A76" t="inlineStr">
        <is>
          <t>36312835</t>
        </is>
      </c>
      <c r="B76" t="inlineStr">
        <is>
          <t>PRODUCTO EE8078</t>
        </is>
      </c>
      <c r="C76" t="inlineStr">
        <is>
          <t>PIERRE CARDIN</t>
        </is>
      </c>
      <c r="D76" t="inlineStr">
        <is>
          <t>SHORTS</t>
        </is>
      </c>
      <c r="E76" t="inlineStr">
        <is>
          <t>MARCAS CASUAL NACIONAL HOMBRE</t>
        </is>
      </c>
      <c r="F76" t="n">
        <v>11</v>
      </c>
      <c r="G76" t="n">
        <v>249</v>
      </c>
      <c r="H76" t="n">
        <v>249</v>
      </c>
      <c r="I76" t="n">
        <v>137.16</v>
      </c>
      <c r="J76" t="inlineStr">
        <is>
          <t>PV</t>
        </is>
      </c>
      <c r="K76" t="inlineStr">
        <is>
          <t>RANGO 0_3</t>
        </is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R76">
        <f>IF(G511&gt;0,1-H511/G511,"")</f>
        <v/>
      </c>
      <c r="S76">
        <f>IF(G511&gt;0,(G511/1.18-I511)/(G511/1.18),"")</f>
        <v/>
      </c>
      <c r="T76">
        <f>IF(H511&gt;0,(H511/1.18-I511)/(H511/1.18),"")</f>
        <v/>
      </c>
      <c r="U76" t="inlineStr">
        <is>
          <t>NOOS</t>
        </is>
      </c>
      <c r="V76" t="n">
        <v>105.51</v>
      </c>
      <c r="W76" t="n">
        <v>36.93</v>
      </c>
      <c r="X76" t="n">
        <v>0.35</v>
      </c>
    </row>
    <row r="77">
      <c r="A77" t="inlineStr">
        <is>
          <t>36313714</t>
        </is>
      </c>
      <c r="B77" t="inlineStr">
        <is>
          <t>PRODUCTO 788D16</t>
        </is>
      </c>
      <c r="C77" t="inlineStr">
        <is>
          <t>PIERRE CARDIN</t>
        </is>
      </c>
      <c r="D77" t="inlineStr">
        <is>
          <t>CAMISAS M/C</t>
        </is>
      </c>
      <c r="E77" t="inlineStr">
        <is>
          <t>MARCAS CASUAL NACIONAL HOMBRE</t>
        </is>
      </c>
      <c r="F77" t="n">
        <v>11</v>
      </c>
      <c r="G77" t="n">
        <v>229</v>
      </c>
      <c r="H77" t="n">
        <v>229</v>
      </c>
      <c r="I77" t="n">
        <v>126.14</v>
      </c>
      <c r="J77" t="inlineStr">
        <is>
          <t>PV</t>
        </is>
      </c>
      <c r="K77" t="inlineStr">
        <is>
          <t>RANGO 0_3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R77">
        <f>IF(G514&gt;0,1-H514/G514,"")</f>
        <v/>
      </c>
      <c r="S77">
        <f>IF(G514&gt;0,(G514/1.18-I514)/(G514/1.18),"")</f>
        <v/>
      </c>
      <c r="T77">
        <f>IF(H514&gt;0,(H514/1.18-I514)/(H514/1.18),"")</f>
        <v/>
      </c>
      <c r="U77" t="inlineStr">
        <is>
          <t>NOOS</t>
        </is>
      </c>
      <c r="V77" t="n">
        <v>0</v>
      </c>
      <c r="W77" t="n">
        <v>0</v>
      </c>
    </row>
    <row r="78">
      <c r="A78" t="inlineStr">
        <is>
          <t>36313892</t>
        </is>
      </c>
      <c r="B78" t="inlineStr">
        <is>
          <t>PRODUCTO 274F10</t>
        </is>
      </c>
      <c r="C78" t="inlineStr">
        <is>
          <t>PIERRE CARDIN</t>
        </is>
      </c>
      <c r="D78" t="inlineStr">
        <is>
          <t>POLOS M/C</t>
        </is>
      </c>
      <c r="E78" t="inlineStr">
        <is>
          <t>MARCAS CASUAL NACIONAL HOMBRE</t>
        </is>
      </c>
      <c r="F78" t="n">
        <v>15</v>
      </c>
      <c r="G78" t="n">
        <v>229</v>
      </c>
      <c r="H78" t="n">
        <v>229</v>
      </c>
      <c r="I78" t="n">
        <v>126.14</v>
      </c>
      <c r="J78" t="inlineStr">
        <is>
          <t>PV</t>
        </is>
      </c>
      <c r="K78" t="inlineStr">
        <is>
          <t>RANGO 3_6</t>
        </is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R78">
        <f>IF(G520&gt;0,1-H520/G520,"")</f>
        <v/>
      </c>
      <c r="S78">
        <f>IF(G520&gt;0,(G520/1.18-I520)/(G520/1.18),"")</f>
        <v/>
      </c>
      <c r="T78">
        <f>IF(H520&gt;0,(H520/1.18-I520)/(H520/1.18),"")</f>
        <v/>
      </c>
      <c r="U78" t="inlineStr">
        <is>
          <t>NOOS</t>
        </is>
      </c>
      <c r="V78" t="n">
        <v>194.06</v>
      </c>
      <c r="W78" t="n">
        <v>67.90000000000001</v>
      </c>
      <c r="X78" t="n">
        <v>0.3499</v>
      </c>
    </row>
    <row r="79">
      <c r="A79" t="inlineStr">
        <is>
          <t>36315468</t>
        </is>
      </c>
      <c r="B79" t="inlineStr">
        <is>
          <t>PRODUCTO 6930DE</t>
        </is>
      </c>
      <c r="C79" t="inlineStr">
        <is>
          <t>PIERRE CARDIN</t>
        </is>
      </c>
      <c r="D79" t="inlineStr">
        <is>
          <t>POLOS M/C</t>
        </is>
      </c>
      <c r="E79" t="inlineStr">
        <is>
          <t>MARCAS CASUAL NACIONAL HOMBRE</t>
        </is>
      </c>
      <c r="F79" t="n">
        <v>11</v>
      </c>
      <c r="G79" t="n">
        <v>229</v>
      </c>
      <c r="H79" t="n">
        <v>229</v>
      </c>
      <c r="I79" t="n">
        <v>126.14</v>
      </c>
      <c r="J79" t="inlineStr">
        <is>
          <t>PV</t>
        </is>
      </c>
      <c r="K79" t="inlineStr">
        <is>
          <t>RANGO 0_3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R79">
        <f>IF(G527&gt;0,1-H527/G527,"")</f>
        <v/>
      </c>
      <c r="S79">
        <f>IF(G527&gt;0,(G527/1.18-I527)/(G527/1.18),"")</f>
        <v/>
      </c>
      <c r="T79">
        <f>IF(H527&gt;0,(H527/1.18-I527)/(H527/1.18),"")</f>
        <v/>
      </c>
      <c r="U79" t="inlineStr">
        <is>
          <t>NOOS</t>
        </is>
      </c>
      <c r="V79" t="n">
        <v>0</v>
      </c>
      <c r="W79" t="n">
        <v>0</v>
      </c>
    </row>
    <row r="80">
      <c r="A80" t="inlineStr">
        <is>
          <t>36315525</t>
        </is>
      </c>
      <c r="B80" t="inlineStr">
        <is>
          <t>PRODUCTO 10CF9B</t>
        </is>
      </c>
      <c r="C80" t="inlineStr">
        <is>
          <t>PIERRE CARDIN</t>
        </is>
      </c>
      <c r="D80" t="inlineStr">
        <is>
          <t>POLOS M/C</t>
        </is>
      </c>
      <c r="E80" t="inlineStr">
        <is>
          <t>MARCAS CASUAL NACIONAL HOMBRE</t>
        </is>
      </c>
      <c r="F80" t="n">
        <v>9</v>
      </c>
      <c r="G80" t="n">
        <v>229</v>
      </c>
      <c r="H80" t="n">
        <v>229</v>
      </c>
      <c r="I80" t="n">
        <v>126.14</v>
      </c>
      <c r="J80" t="inlineStr">
        <is>
          <t>PV</t>
        </is>
      </c>
      <c r="K80" t="inlineStr">
        <is>
          <t>RANGO 0_3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R80">
        <f>IF(G530&gt;0,1-H530/G530,"")</f>
        <v/>
      </c>
      <c r="S80">
        <f>IF(G530&gt;0,(G530/1.18-I530)/(G530/1.18),"")</f>
        <v/>
      </c>
      <c r="T80">
        <f>IF(H530&gt;0,(H530/1.18-I530)/(H530/1.18),"")</f>
        <v/>
      </c>
      <c r="U80" t="inlineStr">
        <is>
          <t>NOOS</t>
        </is>
      </c>
      <c r="V80" t="n">
        <v>0</v>
      </c>
      <c r="W80" t="n">
        <v>0</v>
      </c>
    </row>
    <row r="81">
      <c r="A81" t="inlineStr">
        <is>
          <t>36327969</t>
        </is>
      </c>
      <c r="B81" t="inlineStr">
        <is>
          <t>PRODUCTO 1E50F0</t>
        </is>
      </c>
      <c r="C81" t="inlineStr">
        <is>
          <t>DOCKERS</t>
        </is>
      </c>
      <c r="D81" t="inlineStr">
        <is>
          <t>PANTALONES</t>
        </is>
      </c>
      <c r="E81" t="inlineStr">
        <is>
          <t>MARCAS CASUAL NACIONAL HOMBRE</t>
        </is>
      </c>
      <c r="F81" t="n">
        <v>3</v>
      </c>
      <c r="G81" t="n">
        <v>299</v>
      </c>
      <c r="H81" t="n">
        <v>299</v>
      </c>
      <c r="I81" t="n">
        <v>152.03</v>
      </c>
      <c r="J81" t="inlineStr">
        <is>
          <t>OI</t>
        </is>
      </c>
      <c r="K81" t="inlineStr">
        <is>
          <t>RANGO 0_3</t>
        </is>
      </c>
      <c r="L81" t="n">
        <v>10</v>
      </c>
      <c r="M81" t="n">
        <v>5</v>
      </c>
      <c r="N81" t="n">
        <v>7</v>
      </c>
      <c r="O81" t="n">
        <v>0</v>
      </c>
      <c r="P81" t="n">
        <v>0</v>
      </c>
      <c r="R81">
        <f>IF(G537&gt;0,1-H537/G537,"")</f>
        <v/>
      </c>
      <c r="S81">
        <f>IF(G537&gt;0,(G537/1.18-I537)/(G537/1.18),"")</f>
        <v/>
      </c>
      <c r="T81">
        <f>IF(H537&gt;0,(H537/1.18-I537)/(H537/1.18),"")</f>
        <v/>
      </c>
      <c r="U81" t="inlineStr">
        <is>
          <t>NOOS</t>
        </is>
      </c>
      <c r="V81" t="n">
        <v>2878.51</v>
      </c>
      <c r="W81" t="n">
        <v>1054.15</v>
      </c>
      <c r="X81" t="n">
        <v>0.3662</v>
      </c>
    </row>
    <row r="82">
      <c r="A82" t="inlineStr">
        <is>
          <t>36346263</t>
        </is>
      </c>
      <c r="B82" t="inlineStr">
        <is>
          <t>PRODUCTO FE136B</t>
        </is>
      </c>
      <c r="C82" t="inlineStr">
        <is>
          <t>JOHN HOLDEN</t>
        </is>
      </c>
      <c r="D82" t="inlineStr">
        <is>
          <t>POLOS M/C</t>
        </is>
      </c>
      <c r="E82" t="inlineStr">
        <is>
          <t>MARCAS CASUAL NACIONAL HOMBRE</t>
        </is>
      </c>
      <c r="F82" t="n">
        <v>36</v>
      </c>
      <c r="G82" t="n">
        <v>119.9</v>
      </c>
      <c r="H82" t="n">
        <v>39.9</v>
      </c>
      <c r="I82" t="n">
        <v>42.41</v>
      </c>
      <c r="J82" t="inlineStr">
        <is>
          <t>PV</t>
        </is>
      </c>
      <c r="K82" t="inlineStr">
        <is>
          <t>RANGO 6_9</t>
        </is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R82">
        <f>IF(G547&gt;0,1-H547/G547,"")</f>
        <v/>
      </c>
      <c r="S82">
        <f>IF(G547&gt;0,(G547/1.18-I547)/(G547/1.18),"")</f>
        <v/>
      </c>
      <c r="T82">
        <f>IF(H547&gt;0,(H547/1.18-I547)/(H547/1.18),"")</f>
        <v/>
      </c>
      <c r="U82" t="inlineStr">
        <is>
          <t>NOOS</t>
        </is>
      </c>
      <c r="V82" t="n">
        <v>33.81</v>
      </c>
      <c r="W82" t="n">
        <v>-8.619999999999999</v>
      </c>
      <c r="X82" t="n">
        <v>-0.255</v>
      </c>
    </row>
    <row r="83">
      <c r="A83" t="inlineStr">
        <is>
          <t>36346315</t>
        </is>
      </c>
      <c r="B83" t="inlineStr">
        <is>
          <t>PRODUCTO F4C53C</t>
        </is>
      </c>
      <c r="C83" t="inlineStr">
        <is>
          <t>JOHN HOLDEN</t>
        </is>
      </c>
      <c r="D83" t="inlineStr">
        <is>
          <t>CAMISAS M/L</t>
        </is>
      </c>
      <c r="E83" t="inlineStr">
        <is>
          <t>MARCAS CASUAL NACIONAL HOMBRE</t>
        </is>
      </c>
      <c r="F83" t="n">
        <v>38</v>
      </c>
      <c r="G83" t="n">
        <v>149.9</v>
      </c>
      <c r="H83" t="n">
        <v>89.94</v>
      </c>
      <c r="I83" t="n">
        <v>47.12</v>
      </c>
      <c r="J83" t="inlineStr">
        <is>
          <t>OI</t>
        </is>
      </c>
      <c r="K83" t="inlineStr">
        <is>
          <t>RANGO 6_9</t>
        </is>
      </c>
      <c r="L83" t="n">
        <v>0</v>
      </c>
      <c r="M83" t="n">
        <v>1</v>
      </c>
      <c r="N83" t="n">
        <v>0</v>
      </c>
      <c r="O83" t="n">
        <v>0</v>
      </c>
      <c r="P83" t="n">
        <v>2</v>
      </c>
      <c r="R83">
        <f>IF(G551&gt;0,1-H551/G551,"")</f>
        <v/>
      </c>
      <c r="S83">
        <f>IF(G551&gt;0,(G551/1.18-I551)/(G551/1.18),"")</f>
        <v/>
      </c>
      <c r="T83">
        <f>IF(H551&gt;0,(H551/1.18-I551)/(H551/1.18),"")</f>
        <v/>
      </c>
      <c r="U83" t="inlineStr">
        <is>
          <t>NOOS</t>
        </is>
      </c>
      <c r="V83" t="n">
        <v>228.66</v>
      </c>
      <c r="W83" t="n">
        <v>87.15000000000001</v>
      </c>
      <c r="X83" t="n">
        <v>0.3811</v>
      </c>
    </row>
    <row r="84">
      <c r="A84" t="inlineStr">
        <is>
          <t>36349619</t>
        </is>
      </c>
      <c r="B84" t="inlineStr">
        <is>
          <t>PRODUCTO 99A0E6</t>
        </is>
      </c>
      <c r="C84" t="inlineStr">
        <is>
          <t>DOCKERS</t>
        </is>
      </c>
      <c r="D84" t="inlineStr">
        <is>
          <t>PANTALONES</t>
        </is>
      </c>
      <c r="E84" t="inlineStr">
        <is>
          <t>MARCAS CASUAL NACIONAL HOMBRE</t>
        </is>
      </c>
      <c r="F84" t="n">
        <v>25</v>
      </c>
      <c r="G84" t="n">
        <v>249</v>
      </c>
      <c r="H84" t="n">
        <v>199</v>
      </c>
      <c r="I84" t="n">
        <v>104.9</v>
      </c>
      <c r="J84" t="inlineStr">
        <is>
          <t>OI</t>
        </is>
      </c>
      <c r="K84" t="inlineStr">
        <is>
          <t>RANGO 3_6</t>
        </is>
      </c>
      <c r="L84" t="n">
        <v>13</v>
      </c>
      <c r="M84" t="n">
        <v>1</v>
      </c>
      <c r="N84" t="n">
        <v>1</v>
      </c>
      <c r="O84" t="n">
        <v>3</v>
      </c>
      <c r="P84" t="n">
        <v>2</v>
      </c>
      <c r="R84">
        <f>IF(G554&gt;0,1-H554/G554,"")</f>
        <v/>
      </c>
      <c r="S84">
        <f>IF(G554&gt;0,(G554/1.18-I554)/(G554/1.18),"")</f>
        <v/>
      </c>
      <c r="T84">
        <f>IF(H554&gt;0,(H554/1.18-I554)/(H554/1.18),"")</f>
        <v/>
      </c>
      <c r="U84" t="inlineStr">
        <is>
          <t>NOOS</t>
        </is>
      </c>
      <c r="V84" t="n">
        <v>1180.48</v>
      </c>
      <c r="W84" t="n">
        <v>426.43</v>
      </c>
      <c r="X84" t="n">
        <v>0.3612</v>
      </c>
    </row>
    <row r="85">
      <c r="A85" t="inlineStr">
        <is>
          <t>36350454</t>
        </is>
      </c>
      <c r="B85" t="inlineStr">
        <is>
          <t>PRODUCTO 9E4125</t>
        </is>
      </c>
      <c r="C85" t="inlineStr">
        <is>
          <t>NAUTICA</t>
        </is>
      </c>
      <c r="D85" t="inlineStr">
        <is>
          <t>POLOS M/C</t>
        </is>
      </c>
      <c r="E85" t="inlineStr">
        <is>
          <t>MARCAS CASUAL INTERNACIONAL HOMBRE</t>
        </is>
      </c>
      <c r="F85" t="n">
        <v>42</v>
      </c>
      <c r="G85" t="n">
        <v>229.99</v>
      </c>
      <c r="H85" t="n">
        <v>179.99</v>
      </c>
      <c r="I85" t="n">
        <v>76.2</v>
      </c>
      <c r="J85" t="inlineStr">
        <is>
          <t>TT</t>
        </is>
      </c>
      <c r="K85" t="inlineStr">
        <is>
          <t>RANGO 9_12</t>
        </is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R85">
        <f>IF(G569&gt;0,1-H569/G569,"")</f>
        <v/>
      </c>
      <c r="S85">
        <f>IF(G569&gt;0,(G569/1.18-I569)/(G569/1.18),"")</f>
        <v/>
      </c>
      <c r="T85">
        <f>IF(H569&gt;0,(H569/1.18-I569)/(H569/1.18),"")</f>
        <v/>
      </c>
      <c r="U85" t="inlineStr">
        <is>
          <t>NOOS</t>
        </is>
      </c>
      <c r="V85" t="n">
        <v>257.78</v>
      </c>
      <c r="W85" t="n">
        <v>105.38</v>
      </c>
      <c r="X85" t="n">
        <v>0.4088</v>
      </c>
    </row>
    <row r="86">
      <c r="A86" t="inlineStr">
        <is>
          <t>36350497</t>
        </is>
      </c>
      <c r="B86" t="inlineStr">
        <is>
          <t>PRODUCTO A6A2A1</t>
        </is>
      </c>
      <c r="C86" t="inlineStr">
        <is>
          <t>NAUTICA</t>
        </is>
      </c>
      <c r="D86" t="inlineStr">
        <is>
          <t>CAMISAS M/C</t>
        </is>
      </c>
      <c r="E86" t="inlineStr">
        <is>
          <t>MARCAS CASUAL INTERNACIONAL HOMBRE</t>
        </is>
      </c>
      <c r="F86" t="n">
        <v>0</v>
      </c>
      <c r="G86" t="n">
        <v>299.99</v>
      </c>
      <c r="H86" t="n">
        <v>119.99</v>
      </c>
      <c r="I86" t="n">
        <v>121.55</v>
      </c>
      <c r="J86" t="inlineStr">
        <is>
          <t>PV</t>
        </is>
      </c>
      <c r="K86" t="inlineStr">
        <is>
          <t>Sin Rango</t>
        </is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R86">
        <f>IF(G570&gt;0,1-H570/G570,"")</f>
        <v/>
      </c>
      <c r="S86">
        <f>IF(G570&gt;0,(G570/1.18-I570)/(G570/1.18),"")</f>
        <v/>
      </c>
      <c r="T86">
        <f>IF(H570&gt;0,(H570/1.18-I570)/(H570/1.18),"")</f>
        <v/>
      </c>
      <c r="U86" t="inlineStr">
        <is>
          <t>NOOS</t>
        </is>
      </c>
      <c r="V86" t="n">
        <v>101.69</v>
      </c>
      <c r="W86" t="n">
        <v>-19.86</v>
      </c>
      <c r="X86" t="n">
        <v>-0.1953</v>
      </c>
    </row>
    <row r="87">
      <c r="A87" t="inlineStr">
        <is>
          <t>36350586</t>
        </is>
      </c>
      <c r="B87" t="inlineStr">
        <is>
          <t>PRODUCTO C9FE82</t>
        </is>
      </c>
      <c r="C87" t="inlineStr">
        <is>
          <t>NAUTICA</t>
        </is>
      </c>
      <c r="D87" t="inlineStr">
        <is>
          <t>POLOS M/C</t>
        </is>
      </c>
      <c r="E87" t="inlineStr">
        <is>
          <t>MARCAS CASUAL INTERNACIONAL HOMBRE</t>
        </is>
      </c>
      <c r="F87" t="n">
        <v>10</v>
      </c>
      <c r="G87" t="n">
        <v>149.99</v>
      </c>
      <c r="H87" t="n">
        <v>119.99</v>
      </c>
      <c r="I87" t="n">
        <v>48.66</v>
      </c>
      <c r="J87" t="inlineStr">
        <is>
          <t>TT</t>
        </is>
      </c>
      <c r="K87" t="inlineStr">
        <is>
          <t>RANGO 0_3</t>
        </is>
      </c>
      <c r="L87" t="n">
        <v>1</v>
      </c>
      <c r="M87" t="n">
        <v>0</v>
      </c>
      <c r="N87" t="n">
        <v>8</v>
      </c>
      <c r="O87" t="n">
        <v>10</v>
      </c>
      <c r="P87" t="n">
        <v>0</v>
      </c>
      <c r="R87">
        <f>IF(G582&gt;0,1-H582/G582,"")</f>
        <v/>
      </c>
      <c r="S87">
        <f>IF(G582&gt;0,(G582/1.18-I582)/(G582/1.18),"")</f>
        <v/>
      </c>
      <c r="T87">
        <f>IF(H582&gt;0,(H582/1.18-I582)/(H582/1.18),"")</f>
        <v/>
      </c>
      <c r="U87" t="inlineStr">
        <is>
          <t>NOOS</t>
        </is>
      </c>
      <c r="V87" t="n">
        <v>1674.44</v>
      </c>
      <c r="W87" t="n">
        <v>797.8200000000001</v>
      </c>
      <c r="X87" t="n">
        <v>0.4765</v>
      </c>
    </row>
    <row r="88">
      <c r="A88" t="inlineStr">
        <is>
          <t>36350596</t>
        </is>
      </c>
      <c r="B88" t="inlineStr">
        <is>
          <t>PRODUCTO 65BC9B</t>
        </is>
      </c>
      <c r="C88" t="inlineStr">
        <is>
          <t>NAUTICA</t>
        </is>
      </c>
      <c r="D88" t="inlineStr">
        <is>
          <t>POLOS M/C</t>
        </is>
      </c>
      <c r="E88" t="inlineStr">
        <is>
          <t>MARCAS CASUAL INTERNACIONAL HOMBRE</t>
        </is>
      </c>
      <c r="F88" t="n">
        <v>10</v>
      </c>
      <c r="G88" t="n">
        <v>149.99</v>
      </c>
      <c r="H88" t="n">
        <v>119.99</v>
      </c>
      <c r="I88" t="n">
        <v>48.68</v>
      </c>
      <c r="J88" t="inlineStr">
        <is>
          <t>TT</t>
        </is>
      </c>
      <c r="K88" t="inlineStr">
        <is>
          <t>RANGO 0_3</t>
        </is>
      </c>
      <c r="L88" t="n">
        <v>2</v>
      </c>
      <c r="M88" t="n">
        <v>4</v>
      </c>
      <c r="N88" t="n">
        <v>8</v>
      </c>
      <c r="O88" t="n">
        <v>4</v>
      </c>
      <c r="P88" t="n">
        <v>4</v>
      </c>
      <c r="R88">
        <f>IF(G584&gt;0,1-H584/G584,"")</f>
        <v/>
      </c>
      <c r="S88">
        <f>IF(G584&gt;0,(G584/1.18-I584)/(G584/1.18),"")</f>
        <v/>
      </c>
      <c r="T88">
        <f>IF(H584&gt;0,(H584/1.18-I584)/(H584/1.18),"")</f>
        <v/>
      </c>
      <c r="U88" t="inlineStr">
        <is>
          <t>NOOS</t>
        </is>
      </c>
      <c r="V88" t="n">
        <v>1823.51</v>
      </c>
      <c r="W88" t="n">
        <v>850.47</v>
      </c>
      <c r="X88" t="n">
        <v>0.4664</v>
      </c>
    </row>
    <row r="89">
      <c r="A89" t="inlineStr">
        <is>
          <t>36429163</t>
        </is>
      </c>
      <c r="B89" t="inlineStr">
        <is>
          <t>PRODUCTO 17ED76</t>
        </is>
      </c>
      <c r="C89" t="inlineStr">
        <is>
          <t>MARQUIS</t>
        </is>
      </c>
      <c r="D89" t="inlineStr">
        <is>
          <t>CAMISAS M/C</t>
        </is>
      </c>
      <c r="E89" t="inlineStr">
        <is>
          <t>MARQUIS HOMBRE</t>
        </is>
      </c>
      <c r="F89" t="n">
        <v>43</v>
      </c>
      <c r="G89" t="n">
        <v>159.99</v>
      </c>
      <c r="H89" t="n">
        <v>29.99</v>
      </c>
      <c r="I89" t="n">
        <v>45</v>
      </c>
      <c r="J89" t="inlineStr">
        <is>
          <t>OI</t>
        </is>
      </c>
      <c r="K89" t="inlineStr">
        <is>
          <t>RANGO 9_12</t>
        </is>
      </c>
      <c r="L89" t="n">
        <v>0</v>
      </c>
      <c r="M89" t="n">
        <v>6</v>
      </c>
      <c r="N89" t="n">
        <v>0</v>
      </c>
      <c r="O89" t="n">
        <v>8</v>
      </c>
      <c r="P89" t="n">
        <v>7</v>
      </c>
      <c r="R89">
        <f>IF(G596&gt;0,1-H596/G596,"")</f>
        <v/>
      </c>
      <c r="S89">
        <f>IF(G596&gt;0,(G596/1.18-I596)/(G596/1.18),"")</f>
        <v/>
      </c>
      <c r="T89">
        <f>IF(H596&gt;0,(H596/1.18-I596)/(H596/1.18),"")</f>
        <v/>
      </c>
      <c r="U89" t="inlineStr">
        <is>
          <t>NOOS</t>
        </is>
      </c>
      <c r="V89" t="n">
        <v>513.39</v>
      </c>
      <c r="W89" t="n">
        <v>-431.61</v>
      </c>
      <c r="X89" t="n">
        <v>-0.8407</v>
      </c>
    </row>
    <row r="90">
      <c r="A90" t="inlineStr">
        <is>
          <t>36440789</t>
        </is>
      </c>
      <c r="B90" t="inlineStr">
        <is>
          <t>PRODUCTO 0ADA6B</t>
        </is>
      </c>
      <c r="C90" t="inlineStr">
        <is>
          <t>SPAVALDI</t>
        </is>
      </c>
      <c r="D90" t="inlineStr">
        <is>
          <t>PANTALONES</t>
        </is>
      </c>
      <c r="E90" t="inlineStr">
        <is>
          <t>MARCAS CASUAL INTERNACIONAL HOMBRE</t>
        </is>
      </c>
      <c r="F90" t="n">
        <v>30</v>
      </c>
      <c r="G90" t="n">
        <v>249.99</v>
      </c>
      <c r="H90" t="n">
        <v>249.99</v>
      </c>
      <c r="I90" t="n">
        <v>89.02</v>
      </c>
      <c r="J90" t="inlineStr">
        <is>
          <t>TT</t>
        </is>
      </c>
      <c r="K90" t="inlineStr">
        <is>
          <t>RANGO 6_9</t>
        </is>
      </c>
      <c r="L90" t="n">
        <v>0</v>
      </c>
      <c r="M90" t="n">
        <v>9</v>
      </c>
      <c r="N90" t="n">
        <v>2</v>
      </c>
      <c r="O90" t="n">
        <v>11</v>
      </c>
      <c r="P90" t="n">
        <v>11</v>
      </c>
      <c r="R90">
        <f>IF(G604&gt;0,1-H604/G604,"")</f>
        <v/>
      </c>
      <c r="S90">
        <f>IF(G604&gt;0,(G604/1.18-I604)/(G604/1.18),"")</f>
        <v/>
      </c>
      <c r="T90">
        <f>IF(H604&gt;0,(H604/1.18-I604)/(H604/1.18),"")</f>
        <v/>
      </c>
      <c r="U90" t="inlineStr">
        <is>
          <t>NOOS</t>
        </is>
      </c>
      <c r="V90" t="n">
        <v>6498.35</v>
      </c>
      <c r="W90" t="n">
        <v>3560.69</v>
      </c>
      <c r="X90" t="n">
        <v>0.5479000000000001</v>
      </c>
    </row>
    <row r="91">
      <c r="A91" t="inlineStr">
        <is>
          <t>36440873</t>
        </is>
      </c>
      <c r="B91" t="inlineStr">
        <is>
          <t>PRODUCTO 7FB133</t>
        </is>
      </c>
      <c r="C91" t="inlineStr">
        <is>
          <t>SPAVALDI</t>
        </is>
      </c>
      <c r="D91" t="inlineStr">
        <is>
          <t>CHOMPAS</t>
        </is>
      </c>
      <c r="E91" t="inlineStr">
        <is>
          <t>MARCAS CASUAL INTERNACIONAL HOMBRE</t>
        </is>
      </c>
      <c r="F91" t="n">
        <v>24</v>
      </c>
      <c r="G91" t="n">
        <v>109.99</v>
      </c>
      <c r="H91" t="n">
        <v>39.99</v>
      </c>
      <c r="I91" t="n">
        <v>36.46</v>
      </c>
      <c r="J91" t="inlineStr">
        <is>
          <t>OI</t>
        </is>
      </c>
      <c r="K91" t="inlineStr">
        <is>
          <t>RANGO 3_6</t>
        </is>
      </c>
      <c r="L91" t="n">
        <v>0</v>
      </c>
      <c r="M91" t="n">
        <v>2</v>
      </c>
      <c r="N91" t="n">
        <v>2</v>
      </c>
      <c r="O91" t="n">
        <v>9</v>
      </c>
      <c r="P91" t="n">
        <v>8</v>
      </c>
      <c r="R91">
        <f>IF(G610&gt;0,1-H610/G610,"")</f>
        <v/>
      </c>
      <c r="S91">
        <f>IF(G610&gt;0,(G610/1.18-I610)/(G610/1.18),"")</f>
        <v/>
      </c>
      <c r="T91">
        <f>IF(H610&gt;0,(H610/1.18-I610)/(H610/1.18),"")</f>
        <v/>
      </c>
      <c r="U91" t="inlineStr">
        <is>
          <t>NOOS</t>
        </is>
      </c>
      <c r="V91" t="n">
        <v>744.71</v>
      </c>
      <c r="W91" t="n">
        <v>-21.06</v>
      </c>
      <c r="X91" t="n">
        <v>-0.0283</v>
      </c>
    </row>
    <row r="92">
      <c r="A92" t="inlineStr">
        <is>
          <t>36446403</t>
        </is>
      </c>
      <c r="B92" t="inlineStr">
        <is>
          <t>PRODUCTO 84A559</t>
        </is>
      </c>
      <c r="C92" t="inlineStr">
        <is>
          <t>PIERRE CARDIN</t>
        </is>
      </c>
      <c r="D92" t="inlineStr">
        <is>
          <t>CAMISAS M/C</t>
        </is>
      </c>
      <c r="E92" t="inlineStr">
        <is>
          <t>MARCAS CASUAL NACIONAL HOMBRE</t>
        </is>
      </c>
      <c r="F92" t="n">
        <v>9</v>
      </c>
      <c r="G92" t="n">
        <v>229</v>
      </c>
      <c r="H92" t="n">
        <v>229</v>
      </c>
      <c r="I92" t="n">
        <v>126.14</v>
      </c>
      <c r="J92" t="inlineStr">
        <is>
          <t>PV</t>
        </is>
      </c>
      <c r="K92" t="inlineStr">
        <is>
          <t>RANGO 0_3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R92">
        <f>IF(G622&gt;0,1-H622/G622,"")</f>
        <v/>
      </c>
      <c r="S92">
        <f>IF(G622&gt;0,(G622/1.18-I622)/(G622/1.18),"")</f>
        <v/>
      </c>
      <c r="T92">
        <f>IF(H622&gt;0,(H622/1.18-I622)/(H622/1.18),"")</f>
        <v/>
      </c>
      <c r="U92" t="inlineStr">
        <is>
          <t>NOOS</t>
        </is>
      </c>
      <c r="V92" t="n">
        <v>0</v>
      </c>
      <c r="W92" t="n">
        <v>0</v>
      </c>
    </row>
    <row r="93">
      <c r="A93" t="inlineStr">
        <is>
          <t>36446423</t>
        </is>
      </c>
      <c r="B93" t="inlineStr">
        <is>
          <t>PRODUCTO E08DDE</t>
        </is>
      </c>
      <c r="C93" t="inlineStr">
        <is>
          <t>PIERRE CARDIN</t>
        </is>
      </c>
      <c r="D93" t="inlineStr">
        <is>
          <t>CAMISAS M/C</t>
        </is>
      </c>
      <c r="E93" t="inlineStr">
        <is>
          <t>MARCAS CASUAL NACIONAL HOMBRE</t>
        </is>
      </c>
      <c r="F93" t="n">
        <v>8</v>
      </c>
      <c r="G93" t="n">
        <v>229</v>
      </c>
      <c r="H93" t="n">
        <v>229</v>
      </c>
      <c r="I93" t="n">
        <v>126.14</v>
      </c>
      <c r="J93" t="inlineStr">
        <is>
          <t>PV</t>
        </is>
      </c>
      <c r="K93" t="inlineStr">
        <is>
          <t>RANGO 0_3</t>
        </is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R93">
        <f>IF(G624&gt;0,1-H624/G624,"")</f>
        <v/>
      </c>
      <c r="S93">
        <f>IF(G624&gt;0,(G624/1.18-I624)/(G624/1.18),"")</f>
        <v/>
      </c>
      <c r="T93">
        <f>IF(H624&gt;0,(H624/1.18-I624)/(H624/1.18),"")</f>
        <v/>
      </c>
      <c r="U93" t="inlineStr">
        <is>
          <t>NOOS</t>
        </is>
      </c>
      <c r="V93" t="n">
        <v>97.03</v>
      </c>
      <c r="W93" t="n">
        <v>33.95</v>
      </c>
      <c r="X93" t="n">
        <v>0.3499</v>
      </c>
    </row>
    <row r="94">
      <c r="A94" t="inlineStr">
        <is>
          <t>36454784</t>
        </is>
      </c>
      <c r="B94" t="inlineStr">
        <is>
          <t>PRODUCTO A90A63</t>
        </is>
      </c>
      <c r="C94" t="inlineStr">
        <is>
          <t>SELECTED</t>
        </is>
      </c>
      <c r="D94" t="inlineStr">
        <is>
          <t>POLOS M/C</t>
        </is>
      </c>
      <c r="E94" t="inlineStr">
        <is>
          <t>MARCAS CASUAL INTERNACIONAL HOMBRE</t>
        </is>
      </c>
      <c r="F94" t="n">
        <v>36</v>
      </c>
      <c r="G94" t="n">
        <v>89.98999999999999</v>
      </c>
      <c r="H94" t="n">
        <v>39.99</v>
      </c>
      <c r="I94" t="n">
        <v>31.64</v>
      </c>
      <c r="J94" t="inlineStr">
        <is>
          <t>PV</t>
        </is>
      </c>
      <c r="K94" t="inlineStr">
        <is>
          <t>RANGO 6_9</t>
        </is>
      </c>
      <c r="L94" t="n">
        <v>9</v>
      </c>
      <c r="M94" t="n">
        <v>1</v>
      </c>
      <c r="N94" t="n">
        <v>3</v>
      </c>
      <c r="O94" t="n">
        <v>5</v>
      </c>
      <c r="P94" t="n">
        <v>5</v>
      </c>
      <c r="R94">
        <f>IF(G627&gt;0,1-H627/G627,"")</f>
        <v/>
      </c>
      <c r="S94">
        <f>IF(G627&gt;0,(G627/1.18-I627)/(G627/1.18),"")</f>
        <v/>
      </c>
      <c r="T94">
        <f>IF(H627&gt;0,(H627/1.18-I627)/(H627/1.18),"")</f>
        <v/>
      </c>
      <c r="U94" t="inlineStr">
        <is>
          <t>NOOS</t>
        </is>
      </c>
      <c r="V94" t="n">
        <v>465.91</v>
      </c>
      <c r="W94" t="n">
        <v>22.95</v>
      </c>
      <c r="X94" t="n">
        <v>0.0493</v>
      </c>
    </row>
    <row r="95">
      <c r="A95" t="inlineStr">
        <is>
          <t>36473367</t>
        </is>
      </c>
      <c r="B95" t="inlineStr">
        <is>
          <t>PRODUCTO 36C8CE</t>
        </is>
      </c>
      <c r="C95" t="inlineStr">
        <is>
          <t>JOHN HOLDEN</t>
        </is>
      </c>
      <c r="D95" t="inlineStr">
        <is>
          <t>BLAZERS</t>
        </is>
      </c>
      <c r="E95" t="inlineStr">
        <is>
          <t>MARCAS CASUAL NACIONAL HOMBRE</t>
        </is>
      </c>
      <c r="F95" t="n">
        <v>37</v>
      </c>
      <c r="G95" t="n">
        <v>499.9</v>
      </c>
      <c r="H95" t="n">
        <v>199.9</v>
      </c>
      <c r="I95" t="n">
        <v>235.36</v>
      </c>
      <c r="J95" t="inlineStr">
        <is>
          <t>PV</t>
        </is>
      </c>
      <c r="K95" t="inlineStr">
        <is>
          <t>RANGO 6_9</t>
        </is>
      </c>
      <c r="L95" t="n">
        <v>0</v>
      </c>
      <c r="M95" t="n">
        <v>3</v>
      </c>
      <c r="N95" t="n">
        <v>5</v>
      </c>
      <c r="O95" t="n">
        <v>6</v>
      </c>
      <c r="P95" t="n">
        <v>7</v>
      </c>
      <c r="R95">
        <f>IF(G633&gt;0,1-H633/G633,"")</f>
        <v/>
      </c>
      <c r="S95">
        <f>IF(G633&gt;0,(G633/1.18-I633)/(G633/1.18),"")</f>
        <v/>
      </c>
      <c r="T95">
        <f>IF(H633&gt;0,(H633/1.18-I633)/(H633/1.18),"")</f>
        <v/>
      </c>
      <c r="U95" t="inlineStr">
        <is>
          <t>NOOS</t>
        </is>
      </c>
      <c r="V95" t="n">
        <v>3413.56</v>
      </c>
      <c r="W95" t="n">
        <v>-1529</v>
      </c>
      <c r="X95" t="n">
        <v>-0.4479</v>
      </c>
    </row>
    <row r="96">
      <c r="A96" t="inlineStr">
        <is>
          <t>36473438</t>
        </is>
      </c>
      <c r="B96" t="inlineStr">
        <is>
          <t>PRODUCTO D58C50</t>
        </is>
      </c>
      <c r="C96" t="inlineStr">
        <is>
          <t>JOHN HOLDEN</t>
        </is>
      </c>
      <c r="D96" t="inlineStr">
        <is>
          <t>CAMISAS M/L</t>
        </is>
      </c>
      <c r="E96" t="inlineStr">
        <is>
          <t>MARCAS CASUAL NACIONAL HOMBRE</t>
        </is>
      </c>
      <c r="F96" t="n">
        <v>37</v>
      </c>
      <c r="G96" t="n">
        <v>149.9</v>
      </c>
      <c r="H96" t="n">
        <v>99.98999999999999</v>
      </c>
      <c r="I96" t="n">
        <v>46.81</v>
      </c>
      <c r="J96" t="inlineStr">
        <is>
          <t>OI</t>
        </is>
      </c>
      <c r="K96" t="inlineStr">
        <is>
          <t>RANGO 6_9</t>
        </is>
      </c>
      <c r="L96" t="n">
        <v>20</v>
      </c>
      <c r="M96" t="n">
        <v>1</v>
      </c>
      <c r="N96" t="n">
        <v>3</v>
      </c>
      <c r="O96" t="n">
        <v>3</v>
      </c>
      <c r="P96" t="n">
        <v>3</v>
      </c>
      <c r="R96">
        <f>IF(G635&gt;0,1-H635/G635,"")</f>
        <v/>
      </c>
      <c r="S96">
        <f>IF(G635&gt;0,(G635/1.18-I635)/(G635/1.18),"")</f>
        <v/>
      </c>
      <c r="T96">
        <f>IF(H635&gt;0,(H635/1.18-I635)/(H635/1.18),"")</f>
        <v/>
      </c>
      <c r="U96" t="inlineStr">
        <is>
          <t>NOOS</t>
        </is>
      </c>
      <c r="V96" t="n">
        <v>799.3099999999999</v>
      </c>
      <c r="W96" t="n">
        <v>331.45</v>
      </c>
      <c r="X96" t="n">
        <v>0.4147</v>
      </c>
    </row>
    <row r="97">
      <c r="A97" t="inlineStr">
        <is>
          <t>36493202</t>
        </is>
      </c>
      <c r="B97" t="inlineStr">
        <is>
          <t>PRODUCTO 542CDB</t>
        </is>
      </c>
      <c r="C97" t="inlineStr">
        <is>
          <t>DOCKERS</t>
        </is>
      </c>
      <c r="D97" t="inlineStr">
        <is>
          <t>POLOS M/C</t>
        </is>
      </c>
      <c r="E97" t="inlineStr">
        <is>
          <t>MARCAS CASUAL NACIONAL HOMBRE</t>
        </is>
      </c>
      <c r="F97" t="n">
        <v>22</v>
      </c>
      <c r="G97" t="n">
        <v>129</v>
      </c>
      <c r="H97" t="n">
        <v>129</v>
      </c>
      <c r="I97" t="n">
        <v>55.42</v>
      </c>
      <c r="J97" t="inlineStr">
        <is>
          <t>OI</t>
        </is>
      </c>
      <c r="K97" t="inlineStr">
        <is>
          <t>RANGO 3_6</t>
        </is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R97">
        <f>IF(G662&gt;0,1-H662/G662,"")</f>
        <v/>
      </c>
      <c r="S97">
        <f>IF(G662&gt;0,(G662/1.18-I662)/(G662/1.18),"")</f>
        <v/>
      </c>
      <c r="T97">
        <f>IF(H662&gt;0,(H662/1.18-I662)/(H662/1.18),"")</f>
        <v/>
      </c>
      <c r="U97" t="inlineStr">
        <is>
          <t>NOOS</t>
        </is>
      </c>
      <c r="V97" t="n">
        <v>218.64</v>
      </c>
      <c r="W97" t="n">
        <v>107.8</v>
      </c>
      <c r="X97" t="n">
        <v>0.493</v>
      </c>
    </row>
    <row r="98">
      <c r="A98" t="inlineStr">
        <is>
          <t>36493242</t>
        </is>
      </c>
      <c r="B98" t="inlineStr">
        <is>
          <t>PRODUCTO 093757</t>
        </is>
      </c>
      <c r="C98" t="inlineStr">
        <is>
          <t>DOCKERS</t>
        </is>
      </c>
      <c r="D98" t="inlineStr">
        <is>
          <t>POLOS M/C</t>
        </is>
      </c>
      <c r="E98" t="inlineStr">
        <is>
          <t>MARCAS CASUAL NACIONAL HOMBRE</t>
        </is>
      </c>
      <c r="F98" t="n">
        <v>22</v>
      </c>
      <c r="G98" t="n">
        <v>99</v>
      </c>
      <c r="H98" t="n">
        <v>99</v>
      </c>
      <c r="I98" t="n">
        <v>50.34</v>
      </c>
      <c r="J98" t="inlineStr">
        <is>
          <t>OI</t>
        </is>
      </c>
      <c r="K98" t="inlineStr">
        <is>
          <t>RANGO 3_6</t>
        </is>
      </c>
      <c r="L98" t="n">
        <v>7</v>
      </c>
      <c r="M98" t="n">
        <v>1</v>
      </c>
      <c r="N98" t="n">
        <v>0</v>
      </c>
      <c r="O98" t="n">
        <v>1</v>
      </c>
      <c r="P98" t="n">
        <v>4</v>
      </c>
      <c r="R98">
        <f>IF(G668&gt;0,1-H668/G668,"")</f>
        <v/>
      </c>
      <c r="S98">
        <f>IF(G668&gt;0,(G668/1.18-I668)/(G668/1.18),"")</f>
        <v/>
      </c>
      <c r="T98">
        <f>IF(H668&gt;0,(H668/1.18-I668)/(H668/1.18),"")</f>
        <v/>
      </c>
      <c r="U98" t="inlineStr">
        <is>
          <t>NOOS</t>
        </is>
      </c>
      <c r="V98" t="n">
        <v>436.28</v>
      </c>
      <c r="W98" t="n">
        <v>134.24</v>
      </c>
      <c r="X98" t="n">
        <v>0.3077</v>
      </c>
    </row>
    <row r="99">
      <c r="A99" t="inlineStr">
        <is>
          <t>36493247</t>
        </is>
      </c>
      <c r="B99" t="inlineStr">
        <is>
          <t>PRODUCTO FEE445</t>
        </is>
      </c>
      <c r="C99" t="inlineStr">
        <is>
          <t>DOCKERS</t>
        </is>
      </c>
      <c r="D99" t="inlineStr">
        <is>
          <t>POLOS M/C</t>
        </is>
      </c>
      <c r="E99" t="inlineStr">
        <is>
          <t>MARCAS CASUAL NACIONAL HOMBRE</t>
        </is>
      </c>
      <c r="F99" t="n">
        <v>22</v>
      </c>
      <c r="G99" t="n">
        <v>139</v>
      </c>
      <c r="H99" t="n">
        <v>139</v>
      </c>
      <c r="I99" t="n">
        <v>70.68000000000001</v>
      </c>
      <c r="J99" t="inlineStr">
        <is>
          <t>OI</t>
        </is>
      </c>
      <c r="K99" t="inlineStr">
        <is>
          <t>RANGO 3_6</t>
        </is>
      </c>
      <c r="L99" t="n">
        <v>10</v>
      </c>
      <c r="M99" t="n">
        <v>2</v>
      </c>
      <c r="N99" t="n">
        <v>0</v>
      </c>
      <c r="O99" t="n">
        <v>0</v>
      </c>
      <c r="P99" t="n">
        <v>1</v>
      </c>
      <c r="R99">
        <f>IF(G669&gt;0,1-H669/G669,"")</f>
        <v/>
      </c>
      <c r="S99">
        <f>IF(G669&gt;0,(G669/1.18-I669)/(G669/1.18),"")</f>
        <v/>
      </c>
      <c r="T99">
        <f>IF(H669&gt;0,(H669/1.18-I669)/(H669/1.18),"")</f>
        <v/>
      </c>
      <c r="U99" t="inlineStr">
        <is>
          <t>NOOS</t>
        </is>
      </c>
      <c r="V99" t="n">
        <v>353.4</v>
      </c>
      <c r="W99" t="n">
        <v>141.36</v>
      </c>
      <c r="X99" t="n">
        <v>0.4</v>
      </c>
    </row>
    <row r="100">
      <c r="A100" t="inlineStr">
        <is>
          <t>36493267</t>
        </is>
      </c>
      <c r="B100" t="inlineStr">
        <is>
          <t>PRODUCTO 0A93C8</t>
        </is>
      </c>
      <c r="C100" t="inlineStr">
        <is>
          <t>DOCKERS</t>
        </is>
      </c>
      <c r="D100" t="inlineStr">
        <is>
          <t>CAMISAS M/C</t>
        </is>
      </c>
      <c r="E100" t="inlineStr">
        <is>
          <t>MARCAS CASUAL NACIONAL HOMBRE</t>
        </is>
      </c>
      <c r="F100" t="n">
        <v>44</v>
      </c>
      <c r="G100" t="n">
        <v>179</v>
      </c>
      <c r="H100" t="n">
        <v>89.5</v>
      </c>
      <c r="I100" t="n">
        <v>91.02</v>
      </c>
      <c r="J100" t="inlineStr">
        <is>
          <t>OI</t>
        </is>
      </c>
      <c r="K100" t="inlineStr">
        <is>
          <t>RANGO 9_12</t>
        </is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R100">
        <f>IF(G672&gt;0,1-H672/G672,"")</f>
        <v/>
      </c>
      <c r="S100">
        <f>IF(G672&gt;0,(G672/1.18-I672)/(G672/1.18),"")</f>
        <v/>
      </c>
      <c r="T100">
        <f>IF(H672&gt;0,(H672/1.18-I672)/(H672/1.18),"")</f>
        <v/>
      </c>
      <c r="U100" t="inlineStr">
        <is>
          <t>NOOS</t>
        </is>
      </c>
      <c r="V100" t="n">
        <v>151.7</v>
      </c>
      <c r="W100" t="n">
        <v>-30.34</v>
      </c>
      <c r="X100" t="n">
        <v>-0.2</v>
      </c>
    </row>
    <row r="101">
      <c r="A101" t="inlineStr">
        <is>
          <t>36494866</t>
        </is>
      </c>
      <c r="B101" t="inlineStr">
        <is>
          <t>PRODUCTO 398FBF</t>
        </is>
      </c>
      <c r="C101" t="inlineStr">
        <is>
          <t>LACOSTE</t>
        </is>
      </c>
      <c r="D101" t="inlineStr">
        <is>
          <t>POLOS M/C</t>
        </is>
      </c>
      <c r="E101" t="inlineStr">
        <is>
          <t>MARCAS CASUAL NACIONAL HOMBRE</t>
        </is>
      </c>
      <c r="F101" t="n">
        <v>33</v>
      </c>
      <c r="G101" t="n">
        <v>219</v>
      </c>
      <c r="H101" t="n">
        <v>87.98999999999999</v>
      </c>
      <c r="I101" t="n">
        <v>75</v>
      </c>
      <c r="J101" t="inlineStr">
        <is>
          <t>OI</t>
        </is>
      </c>
      <c r="K101" t="inlineStr">
        <is>
          <t>RANGO 6_9</t>
        </is>
      </c>
      <c r="L101" t="n">
        <v>13</v>
      </c>
      <c r="M101" t="n">
        <v>147</v>
      </c>
      <c r="N101" t="n">
        <v>45</v>
      </c>
      <c r="O101" t="n">
        <v>65</v>
      </c>
      <c r="P101" t="n">
        <v>67</v>
      </c>
      <c r="R101">
        <f>IF(G688&gt;0,1-H688/G688,"")</f>
        <v/>
      </c>
      <c r="S101">
        <f>IF(G688&gt;0,(G688/1.18-I688)/(G688/1.18),"")</f>
        <v/>
      </c>
      <c r="T101">
        <f>IF(H688&gt;0,(H688/1.18-I688)/(H688/1.18),"")</f>
        <v/>
      </c>
      <c r="U101" t="inlineStr">
        <is>
          <t>NOOS</t>
        </is>
      </c>
      <c r="V101" t="n">
        <v>26111.98</v>
      </c>
      <c r="W101" t="n">
        <v>1811.98</v>
      </c>
      <c r="X101" t="n">
        <v>0.0694</v>
      </c>
    </row>
    <row r="102">
      <c r="A102" t="inlineStr">
        <is>
          <t>36504307</t>
        </is>
      </c>
      <c r="B102" t="inlineStr">
        <is>
          <t>PRODUCTO 01AFFA</t>
        </is>
      </c>
      <c r="C102" t="inlineStr">
        <is>
          <t>JOHN HOLDEN</t>
        </is>
      </c>
      <c r="D102" t="inlineStr">
        <is>
          <t>CAMISAS M/L</t>
        </is>
      </c>
      <c r="E102" t="inlineStr">
        <is>
          <t>MARCAS CASUAL NACIONAL HOMBRE</t>
        </is>
      </c>
      <c r="F102" t="n">
        <v>38</v>
      </c>
      <c r="G102" t="n">
        <v>149.9</v>
      </c>
      <c r="H102" t="n">
        <v>89.94</v>
      </c>
      <c r="I102" t="n">
        <v>46.68</v>
      </c>
      <c r="J102" t="inlineStr">
        <is>
          <t>OI</t>
        </is>
      </c>
      <c r="K102" t="inlineStr">
        <is>
          <t>RANGO 6_9</t>
        </is>
      </c>
      <c r="L102" t="n">
        <v>3</v>
      </c>
      <c r="M102" t="n">
        <v>0</v>
      </c>
      <c r="N102" t="n">
        <v>0</v>
      </c>
      <c r="O102" t="n">
        <v>2</v>
      </c>
      <c r="P102" t="n">
        <v>0</v>
      </c>
      <c r="R102">
        <f>IF(G713&gt;0,1-H713/G713,"")</f>
        <v/>
      </c>
      <c r="S102">
        <f>IF(G713&gt;0,(G713/1.18-I713)/(G713/1.18),"")</f>
        <v/>
      </c>
      <c r="T102">
        <f>IF(H713&gt;0,(H713/1.18-I713)/(H713/1.18),"")</f>
        <v/>
      </c>
      <c r="U102" t="inlineStr">
        <is>
          <t>NOOS</t>
        </is>
      </c>
      <c r="V102" t="n">
        <v>144.82</v>
      </c>
      <c r="W102" t="n">
        <v>51.24</v>
      </c>
      <c r="X102" t="n">
        <v>0.3538</v>
      </c>
    </row>
    <row r="103">
      <c r="A103" t="inlineStr">
        <is>
          <t>36513149</t>
        </is>
      </c>
      <c r="B103" t="inlineStr">
        <is>
          <t>PRODUCTO 3E7DE7</t>
        </is>
      </c>
      <c r="C103" t="inlineStr">
        <is>
          <t>JOHN HOLDEN</t>
        </is>
      </c>
      <c r="D103" t="inlineStr">
        <is>
          <t>CAMISAS M/L</t>
        </is>
      </c>
      <c r="E103" t="inlineStr">
        <is>
          <t>MARCAS CASUAL NACIONAL HOMBRE</t>
        </is>
      </c>
      <c r="F103" t="n">
        <v>37</v>
      </c>
      <c r="G103" t="n">
        <v>149.9</v>
      </c>
      <c r="H103" t="n">
        <v>89.94</v>
      </c>
      <c r="I103" t="n">
        <v>46.6</v>
      </c>
      <c r="J103" t="inlineStr">
        <is>
          <t>OI</t>
        </is>
      </c>
      <c r="K103" t="inlineStr">
        <is>
          <t>RANGO 6_9</t>
        </is>
      </c>
      <c r="L103" t="n">
        <v>15</v>
      </c>
      <c r="M103" t="n">
        <v>0</v>
      </c>
      <c r="N103" t="n">
        <v>1</v>
      </c>
      <c r="O103" t="n">
        <v>0</v>
      </c>
      <c r="P103" t="n">
        <v>1</v>
      </c>
      <c r="R103">
        <f>IF(G717&gt;0,1-H717/G717,"")</f>
        <v/>
      </c>
      <c r="S103">
        <f>IF(G717&gt;0,(G717/1.18-I717)/(G717/1.18),"")</f>
        <v/>
      </c>
      <c r="T103">
        <f>IF(H717&gt;0,(H717/1.18-I717)/(H717/1.18),"")</f>
        <v/>
      </c>
      <c r="U103" t="inlineStr">
        <is>
          <t>NOOS</t>
        </is>
      </c>
      <c r="V103" t="n">
        <v>152.41</v>
      </c>
      <c r="W103" t="n">
        <v>59.2</v>
      </c>
      <c r="X103" t="n">
        <v>0.3884</v>
      </c>
    </row>
    <row r="104">
      <c r="A104" t="inlineStr">
        <is>
          <t>36513182</t>
        </is>
      </c>
      <c r="B104" t="inlineStr">
        <is>
          <t>PRODUCTO 6F3593</t>
        </is>
      </c>
      <c r="C104" t="inlineStr">
        <is>
          <t>JOHN HOLDEN</t>
        </is>
      </c>
      <c r="D104" t="inlineStr">
        <is>
          <t>CAMISAS M/L</t>
        </is>
      </c>
      <c r="E104" t="inlineStr">
        <is>
          <t>MARCAS CASUAL NACIONAL HOMBRE</t>
        </is>
      </c>
      <c r="F104" t="n">
        <v>36</v>
      </c>
      <c r="G104" t="n">
        <v>189.9</v>
      </c>
      <c r="H104" t="n">
        <v>113.94</v>
      </c>
      <c r="I104" t="n">
        <v>88.20999999999999</v>
      </c>
      <c r="J104" t="inlineStr">
        <is>
          <t>OI</t>
        </is>
      </c>
      <c r="K104" t="inlineStr">
        <is>
          <t>RANGO 6_9</t>
        </is>
      </c>
      <c r="L104" t="n">
        <v>18</v>
      </c>
      <c r="M104" t="n">
        <v>0</v>
      </c>
      <c r="N104" t="n">
        <v>0</v>
      </c>
      <c r="O104" t="n">
        <v>0</v>
      </c>
      <c r="P104" t="n">
        <v>0</v>
      </c>
      <c r="R104">
        <f>IF(G721&gt;0,1-H721/G721,"")</f>
        <v/>
      </c>
      <c r="S104">
        <f>IF(G721&gt;0,(G721/1.18-I721)/(G721/1.18),"")</f>
        <v/>
      </c>
      <c r="T104">
        <f>IF(H721&gt;0,(H721/1.18-I721)/(H721/1.18),"")</f>
        <v/>
      </c>
      <c r="U104" t="inlineStr">
        <is>
          <t>NOOS</t>
        </is>
      </c>
      <c r="V104" t="n">
        <v>0</v>
      </c>
      <c r="W104" t="n">
        <v>0</v>
      </c>
    </row>
    <row r="105">
      <c r="A105" t="inlineStr">
        <is>
          <t>36515962</t>
        </is>
      </c>
      <c r="B105" t="inlineStr">
        <is>
          <t>PRODUCTO 27F2FE</t>
        </is>
      </c>
      <c r="C105" t="inlineStr">
        <is>
          <t>PIERRE CARDIN</t>
        </is>
      </c>
      <c r="D105" t="inlineStr">
        <is>
          <t>POLOS M/C</t>
        </is>
      </c>
      <c r="E105" t="inlineStr">
        <is>
          <t>MARCAS CASUAL NACIONAL HOMBRE</t>
        </is>
      </c>
      <c r="F105" t="n">
        <v>19</v>
      </c>
      <c r="G105" t="n">
        <v>169</v>
      </c>
      <c r="H105" t="n">
        <v>169</v>
      </c>
      <c r="I105" t="n">
        <v>93.09</v>
      </c>
      <c r="J105" t="inlineStr">
        <is>
          <t>PV</t>
        </is>
      </c>
      <c r="K105" t="inlineStr">
        <is>
          <t>RANGO 3_6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R105">
        <f>IF(G732&gt;0,1-H732/G732,"")</f>
        <v/>
      </c>
      <c r="S105">
        <f>IF(G732&gt;0,(G732/1.18-I732)/(G732/1.18),"")</f>
        <v/>
      </c>
      <c r="T105">
        <f>IF(H732&gt;0,(H732/1.18-I732)/(H732/1.18),"")</f>
        <v/>
      </c>
      <c r="U105" t="inlineStr">
        <is>
          <t>NOOS</t>
        </is>
      </c>
      <c r="V105" t="n">
        <v>0</v>
      </c>
      <c r="W105" t="n">
        <v>0</v>
      </c>
    </row>
    <row r="106">
      <c r="A106" t="inlineStr">
        <is>
          <t>36519635</t>
        </is>
      </c>
      <c r="B106" t="inlineStr">
        <is>
          <t>PRODUCTO E34D8E</t>
        </is>
      </c>
      <c r="C106" t="inlineStr">
        <is>
          <t>SPAVALDI</t>
        </is>
      </c>
      <c r="D106" t="inlineStr">
        <is>
          <t>CASACAS</t>
        </is>
      </c>
      <c r="E106" t="inlineStr">
        <is>
          <t>MARCAS CASUAL INTERNACIONAL HOMBRE</t>
        </is>
      </c>
      <c r="F106" t="n">
        <v>21</v>
      </c>
      <c r="G106" t="n">
        <v>699.99</v>
      </c>
      <c r="H106" t="n">
        <v>279.99</v>
      </c>
      <c r="I106" t="n">
        <v>250.65</v>
      </c>
      <c r="J106" t="inlineStr">
        <is>
          <t>OI</t>
        </is>
      </c>
      <c r="K106" t="inlineStr">
        <is>
          <t>RANGO 3_6</t>
        </is>
      </c>
      <c r="L106" t="n">
        <v>2</v>
      </c>
      <c r="M106" t="n">
        <v>0</v>
      </c>
      <c r="N106" t="n">
        <v>2</v>
      </c>
      <c r="O106" t="n">
        <v>1</v>
      </c>
      <c r="P106" t="n">
        <v>-1</v>
      </c>
      <c r="R106">
        <f>IF(G735&gt;0,1-H735/G735,"")</f>
        <v/>
      </c>
      <c r="S106">
        <f>IF(G735&gt;0,(G735/1.18-I735)/(G735/1.18),"")</f>
        <v/>
      </c>
      <c r="T106">
        <f>IF(H735&gt;0,(H735/1.18-I735)/(H735/1.18),"")</f>
        <v/>
      </c>
      <c r="U106" t="inlineStr">
        <is>
          <t>NOOS</t>
        </is>
      </c>
      <c r="V106" t="n">
        <v>355.92</v>
      </c>
      <c r="W106" t="n">
        <v>-144.26</v>
      </c>
      <c r="X106" t="n">
        <v>-0.4053</v>
      </c>
    </row>
    <row r="107">
      <c r="A107" t="inlineStr">
        <is>
          <t>36519677</t>
        </is>
      </c>
      <c r="B107" t="inlineStr">
        <is>
          <t>PRODUCTO 2828D6</t>
        </is>
      </c>
      <c r="C107" t="inlineStr">
        <is>
          <t>SPAVALDI</t>
        </is>
      </c>
      <c r="D107" t="inlineStr">
        <is>
          <t>CASACAS</t>
        </is>
      </c>
      <c r="E107" t="inlineStr">
        <is>
          <t>MARCAS CASUAL INTERNACIONAL HOMBRE</t>
        </is>
      </c>
      <c r="F107" t="n">
        <v>29</v>
      </c>
      <c r="G107" t="n">
        <v>429.99</v>
      </c>
      <c r="H107" t="n">
        <v>169.99</v>
      </c>
      <c r="I107" t="n">
        <v>187.25</v>
      </c>
      <c r="J107" t="inlineStr">
        <is>
          <t>OI</t>
        </is>
      </c>
      <c r="K107" t="inlineStr">
        <is>
          <t>RANGO 6_9</t>
        </is>
      </c>
      <c r="L107" t="n">
        <v>0</v>
      </c>
      <c r="M107" t="n">
        <v>1</v>
      </c>
      <c r="N107" t="n">
        <v>1</v>
      </c>
      <c r="O107" t="n">
        <v>6</v>
      </c>
      <c r="P107" t="n">
        <v>1</v>
      </c>
      <c r="R107">
        <f>IF(G741&gt;0,1-H741/G741,"")</f>
        <v/>
      </c>
      <c r="S107">
        <f>IF(G741&gt;0,(G741/1.18-I741)/(G741/1.18),"")</f>
        <v/>
      </c>
      <c r="T107">
        <f>IF(H741&gt;0,(H741/1.18-I741)/(H741/1.18),"")</f>
        <v/>
      </c>
      <c r="U107" t="inlineStr">
        <is>
          <t>NOOS</t>
        </is>
      </c>
      <c r="V107" t="n">
        <v>803.25</v>
      </c>
      <c r="W107" t="n">
        <v>-883.35</v>
      </c>
      <c r="X107" t="n">
        <v>-1.0997</v>
      </c>
    </row>
    <row r="108">
      <c r="A108" t="inlineStr">
        <is>
          <t>36546534</t>
        </is>
      </c>
      <c r="B108" t="inlineStr">
        <is>
          <t>PRODUCTO 40E10B</t>
        </is>
      </c>
      <c r="C108" t="inlineStr">
        <is>
          <t>MARQUIS</t>
        </is>
      </c>
      <c r="D108" t="inlineStr">
        <is>
          <t>CAMISAS M/L</t>
        </is>
      </c>
      <c r="E108" t="inlineStr">
        <is>
          <t>MARQUIS HOMBRE</t>
        </is>
      </c>
      <c r="F108" t="n">
        <v>29</v>
      </c>
      <c r="G108" t="n">
        <v>149.99</v>
      </c>
      <c r="H108" t="n">
        <v>69.98999999999999</v>
      </c>
      <c r="I108" t="n">
        <v>41.38</v>
      </c>
      <c r="J108" t="inlineStr">
        <is>
          <t>OI</t>
        </is>
      </c>
      <c r="K108" t="inlineStr">
        <is>
          <t>RANGO 6_9</t>
        </is>
      </c>
      <c r="L108" t="n">
        <v>12</v>
      </c>
      <c r="M108" t="n">
        <v>5</v>
      </c>
      <c r="N108" t="n">
        <v>15</v>
      </c>
      <c r="O108" t="n">
        <v>15</v>
      </c>
      <c r="P108" t="n">
        <v>19</v>
      </c>
      <c r="R108">
        <f>IF(G751&gt;0,1-H751/G751,"")</f>
        <v/>
      </c>
      <c r="S108">
        <f>IF(G751&gt;0,(G751/1.18-I751)/(G751/1.18),"")</f>
        <v/>
      </c>
      <c r="T108">
        <f>IF(H751&gt;0,(H751/1.18-I751)/(H751/1.18),"")</f>
        <v/>
      </c>
      <c r="U108" t="inlineStr">
        <is>
          <t>NOOS</t>
        </is>
      </c>
      <c r="V108" t="n">
        <v>2950.95</v>
      </c>
      <c r="W108" t="n">
        <v>715.89</v>
      </c>
      <c r="X108" t="n">
        <v>0.2426</v>
      </c>
    </row>
    <row r="109">
      <c r="A109" t="inlineStr">
        <is>
          <t>36551883</t>
        </is>
      </c>
      <c r="B109" t="inlineStr">
        <is>
          <t>PRODUCTO 4C4741</t>
        </is>
      </c>
      <c r="C109" t="inlineStr">
        <is>
          <t>PIERRE CARDIN</t>
        </is>
      </c>
      <c r="D109" t="inlineStr">
        <is>
          <t>CAMISAS M/C</t>
        </is>
      </c>
      <c r="E109" t="inlineStr">
        <is>
          <t>MARCAS CASUAL NACIONAL HOMBRE</t>
        </is>
      </c>
      <c r="F109" t="n">
        <v>0</v>
      </c>
      <c r="G109" t="n">
        <v>229</v>
      </c>
      <c r="H109" t="n">
        <v>229</v>
      </c>
      <c r="I109" t="n">
        <v>126.14</v>
      </c>
      <c r="J109" t="inlineStr">
        <is>
          <t>PV</t>
        </is>
      </c>
      <c r="K109" t="inlineStr">
        <is>
          <t>RANGO 0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R109">
        <f>IF(G759&gt;0,1-H759/G759,"")</f>
        <v/>
      </c>
      <c r="S109">
        <f>IF(G759&gt;0,(G759/1.18-I759)/(G759/1.18),"")</f>
        <v/>
      </c>
      <c r="T109">
        <f>IF(H759&gt;0,(H759/1.18-I759)/(H759/1.18),"")</f>
        <v/>
      </c>
      <c r="U109" t="inlineStr">
        <is>
          <t>NOOS</t>
        </is>
      </c>
      <c r="V109" t="n">
        <v>0</v>
      </c>
      <c r="W109" t="n">
        <v>0</v>
      </c>
    </row>
    <row r="110">
      <c r="A110" t="inlineStr">
        <is>
          <t>36574936</t>
        </is>
      </c>
      <c r="B110" t="inlineStr">
        <is>
          <t>PRODUCTO 604D6E</t>
        </is>
      </c>
      <c r="C110" t="inlineStr">
        <is>
          <t>MARQUIS</t>
        </is>
      </c>
      <c r="D110" t="inlineStr">
        <is>
          <t>CASACAS</t>
        </is>
      </c>
      <c r="E110" t="inlineStr">
        <is>
          <t>MARQUIS HOMBRE</t>
        </is>
      </c>
      <c r="F110" t="n">
        <v>29</v>
      </c>
      <c r="G110" t="n">
        <v>299.99</v>
      </c>
      <c r="H110" t="n">
        <v>69.98999999999999</v>
      </c>
      <c r="I110" t="n">
        <v>68.12</v>
      </c>
      <c r="J110" t="inlineStr">
        <is>
          <t>OI</t>
        </is>
      </c>
      <c r="K110" t="inlineStr">
        <is>
          <t>RANGO 6_9</t>
        </is>
      </c>
      <c r="L110" t="n">
        <v>1</v>
      </c>
      <c r="M110" t="n">
        <v>5</v>
      </c>
      <c r="N110" t="n">
        <v>5</v>
      </c>
      <c r="O110" t="n">
        <v>8</v>
      </c>
      <c r="P110" t="n">
        <v>7</v>
      </c>
      <c r="R110">
        <f>IF(G771&gt;0,1-H771/G771,"")</f>
        <v/>
      </c>
      <c r="S110">
        <f>IF(G771&gt;0,(G771/1.18-I771)/(G771/1.18),"")</f>
        <v/>
      </c>
      <c r="T110">
        <f>IF(H771&gt;0,(H771/1.18-I771)/(H771/1.18),"")</f>
        <v/>
      </c>
      <c r="U110" t="inlineStr">
        <is>
          <t>NOOS</t>
        </is>
      </c>
      <c r="V110" t="n">
        <v>1718.29</v>
      </c>
      <c r="W110" t="n">
        <v>18.34</v>
      </c>
      <c r="X110" t="n">
        <v>0.0107</v>
      </c>
    </row>
    <row r="111">
      <c r="A111" t="inlineStr">
        <is>
          <t>36574973</t>
        </is>
      </c>
      <c r="B111" t="inlineStr">
        <is>
          <t>PRODUCTO D48C08</t>
        </is>
      </c>
      <c r="C111" t="inlineStr">
        <is>
          <t>NAVIGATA</t>
        </is>
      </c>
      <c r="D111" t="inlineStr">
        <is>
          <t>CAMISAS M/L</t>
        </is>
      </c>
      <c r="E111" t="inlineStr">
        <is>
          <t>NAVIGATA HOMBRE</t>
        </is>
      </c>
      <c r="F111" t="n">
        <v>17</v>
      </c>
      <c r="G111" t="n">
        <v>119.99</v>
      </c>
      <c r="H111" t="n">
        <v>49.99</v>
      </c>
      <c r="I111" t="n">
        <v>26.07</v>
      </c>
      <c r="J111" t="inlineStr">
        <is>
          <t>OI</t>
        </is>
      </c>
      <c r="K111" t="inlineStr">
        <is>
          <t>RANGO 3_6</t>
        </is>
      </c>
      <c r="L111" t="n">
        <v>0</v>
      </c>
      <c r="M111" t="n">
        <v>41</v>
      </c>
      <c r="N111" t="n">
        <v>42</v>
      </c>
      <c r="O111" t="n">
        <v>46</v>
      </c>
      <c r="P111" t="n">
        <v>43</v>
      </c>
      <c r="R111">
        <f>IF(G774&gt;0,1-H774/G774,"")</f>
        <v/>
      </c>
      <c r="S111">
        <f>IF(G774&gt;0,(G774/1.18-I774)/(G774/1.18),"")</f>
        <v/>
      </c>
      <c r="T111">
        <f>IF(H774&gt;0,(H774/1.18-I774)/(H774/1.18),"")</f>
        <v/>
      </c>
      <c r="U111" t="inlineStr">
        <is>
          <t>NOOS</t>
        </is>
      </c>
      <c r="V111" t="n">
        <v>6685.94</v>
      </c>
      <c r="W111" t="n">
        <v>2201.94</v>
      </c>
      <c r="X111" t="n">
        <v>0.3293</v>
      </c>
    </row>
    <row r="112">
      <c r="A112" t="inlineStr">
        <is>
          <t>36581091</t>
        </is>
      </c>
      <c r="B112" t="inlineStr">
        <is>
          <t>PRODUCTO 967466</t>
        </is>
      </c>
      <c r="C112" t="inlineStr">
        <is>
          <t>OSCAR DE LA RENTA</t>
        </is>
      </c>
      <c r="D112" t="inlineStr">
        <is>
          <t>CAMISAS M/C</t>
        </is>
      </c>
      <c r="E112" t="inlineStr">
        <is>
          <t>MARCAS CASUAL INTERNACIONAL HOMBRE</t>
        </is>
      </c>
      <c r="F112" t="n">
        <v>34</v>
      </c>
      <c r="G112" t="n">
        <v>199.99</v>
      </c>
      <c r="H112" t="n">
        <v>79.98999999999999</v>
      </c>
      <c r="I112" t="n">
        <v>70.81</v>
      </c>
      <c r="J112" t="inlineStr">
        <is>
          <t>OI</t>
        </is>
      </c>
      <c r="K112" t="inlineStr">
        <is>
          <t>RANGO 6_9</t>
        </is>
      </c>
      <c r="L112" t="n">
        <v>0</v>
      </c>
      <c r="M112" t="n">
        <v>1</v>
      </c>
      <c r="N112" t="n">
        <v>1</v>
      </c>
      <c r="O112" t="n">
        <v>3</v>
      </c>
      <c r="P112" t="n">
        <v>2</v>
      </c>
      <c r="R112">
        <f>IF(G777&gt;0,1-H777/G777,"")</f>
        <v/>
      </c>
      <c r="S112">
        <f>IF(G777&gt;0,(G777/1.18-I777)/(G777/1.18),"")</f>
        <v/>
      </c>
      <c r="T112">
        <f>IF(H777&gt;0,(H777/1.18-I777)/(H777/1.18),"")</f>
        <v/>
      </c>
      <c r="U112" t="inlineStr">
        <is>
          <t>NOOS</t>
        </is>
      </c>
      <c r="V112" t="n">
        <v>593.25</v>
      </c>
      <c r="W112" t="n">
        <v>96.83</v>
      </c>
      <c r="X112" t="n">
        <v>0.1632</v>
      </c>
    </row>
    <row r="113">
      <c r="A113" t="inlineStr">
        <is>
          <t>36591674</t>
        </is>
      </c>
      <c r="B113" t="inlineStr">
        <is>
          <t>PRODUCTO 971F2A</t>
        </is>
      </c>
      <c r="C113" t="inlineStr">
        <is>
          <t>MARQUIS</t>
        </is>
      </c>
      <c r="D113" t="inlineStr">
        <is>
          <t>CAMISAS M/C</t>
        </is>
      </c>
      <c r="E113" t="inlineStr">
        <is>
          <t>MARQUIS HOMBRE</t>
        </is>
      </c>
      <c r="F113" t="n">
        <v>34</v>
      </c>
      <c r="G113" t="n">
        <v>159.99</v>
      </c>
      <c r="H113" t="n">
        <v>29.99</v>
      </c>
      <c r="I113" t="n">
        <v>42</v>
      </c>
      <c r="J113" t="inlineStr">
        <is>
          <t>OI</t>
        </is>
      </c>
      <c r="K113" t="inlineStr">
        <is>
          <t>RANGO 6_9</t>
        </is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R113">
        <f>IF(G786&gt;0,1-H786/G786,"")</f>
        <v/>
      </c>
      <c r="S113">
        <f>IF(G786&gt;0,(G786/1.18-I786)/(G786/1.18),"")</f>
        <v/>
      </c>
      <c r="T113">
        <f>IF(H786&gt;0,(H786/1.18-I786)/(H786/1.18),"")</f>
        <v/>
      </c>
      <c r="U113" t="inlineStr">
        <is>
          <t>NOOS</t>
        </is>
      </c>
      <c r="V113" t="n">
        <v>50.84</v>
      </c>
      <c r="W113" t="n">
        <v>-33.16</v>
      </c>
      <c r="X113" t="n">
        <v>-0.6522</v>
      </c>
    </row>
    <row r="114">
      <c r="A114" t="inlineStr">
        <is>
          <t>36622310</t>
        </is>
      </c>
      <c r="B114" t="inlineStr">
        <is>
          <t>PRODUCTO C8C8C0</t>
        </is>
      </c>
      <c r="C114" t="inlineStr">
        <is>
          <t>MARQUIS</t>
        </is>
      </c>
      <c r="D114" t="inlineStr">
        <is>
          <t>CAMISAS M/L</t>
        </is>
      </c>
      <c r="E114" t="inlineStr">
        <is>
          <t>MARQUIS HOMBRE</t>
        </is>
      </c>
      <c r="F114" t="n">
        <v>36</v>
      </c>
      <c r="G114" t="n">
        <v>149.99</v>
      </c>
      <c r="H114" t="n">
        <v>49.99</v>
      </c>
      <c r="I114" t="n">
        <v>41.3</v>
      </c>
      <c r="J114" t="inlineStr">
        <is>
          <t>OI</t>
        </is>
      </c>
      <c r="K114" t="inlineStr">
        <is>
          <t>RANGO 6_9</t>
        </is>
      </c>
      <c r="L114" t="n">
        <v>0</v>
      </c>
      <c r="M114" t="n">
        <v>2</v>
      </c>
      <c r="N114" t="n">
        <v>0</v>
      </c>
      <c r="O114" t="n">
        <v>2</v>
      </c>
      <c r="P114" t="n">
        <v>3</v>
      </c>
      <c r="R114">
        <f>IF(G792&gt;0,1-H792/G792,"")</f>
        <v/>
      </c>
      <c r="S114">
        <f>IF(G792&gt;0,(G792/1.18-I792)/(G792/1.18),"")</f>
        <v/>
      </c>
      <c r="T114">
        <f>IF(H792&gt;0,(H792/1.18-I792)/(H792/1.18),"")</f>
        <v/>
      </c>
      <c r="U114" t="inlineStr">
        <is>
          <t>NOOS</t>
        </is>
      </c>
      <c r="V114" t="n">
        <v>287.98</v>
      </c>
      <c r="W114" t="n">
        <v>-1.12</v>
      </c>
      <c r="X114" t="n">
        <v>-0.0039</v>
      </c>
    </row>
    <row r="115">
      <c r="A115" t="inlineStr">
        <is>
          <t>36622333</t>
        </is>
      </c>
      <c r="B115" t="inlineStr">
        <is>
          <t>PRODUCTO 418ABB</t>
        </is>
      </c>
      <c r="C115" t="inlineStr">
        <is>
          <t>CACHAREL</t>
        </is>
      </c>
      <c r="D115" t="inlineStr">
        <is>
          <t>CAMISAS M/C</t>
        </is>
      </c>
      <c r="E115" t="inlineStr">
        <is>
          <t>CACHAREL HOMBRE</t>
        </is>
      </c>
      <c r="F115" t="n">
        <v>34</v>
      </c>
      <c r="G115" t="n">
        <v>169.99</v>
      </c>
      <c r="H115" t="n">
        <v>39.99</v>
      </c>
      <c r="I115" t="n">
        <v>45</v>
      </c>
      <c r="J115" t="inlineStr">
        <is>
          <t>OI</t>
        </is>
      </c>
      <c r="K115" t="inlineStr">
        <is>
          <t>RANGO 6_9</t>
        </is>
      </c>
      <c r="L115" t="n">
        <v>0</v>
      </c>
      <c r="M115" t="n">
        <v>7</v>
      </c>
      <c r="N115" t="n">
        <v>2</v>
      </c>
      <c r="O115" t="n">
        <v>5</v>
      </c>
      <c r="P115" t="n">
        <v>7</v>
      </c>
      <c r="R115">
        <f>IF(G793&gt;0,1-H793/G793,"")</f>
        <v/>
      </c>
      <c r="S115">
        <f>IF(G793&gt;0,(G793/1.18-I793)/(G793/1.18),"")</f>
        <v/>
      </c>
      <c r="T115">
        <f>IF(H793&gt;0,(H793/1.18-I793)/(H793/1.18),"")</f>
        <v/>
      </c>
      <c r="U115" t="inlineStr">
        <is>
          <t>NOOS</t>
        </is>
      </c>
      <c r="V115" t="n">
        <v>674.9400000000001</v>
      </c>
      <c r="W115" t="n">
        <v>-270.06</v>
      </c>
      <c r="X115" t="n">
        <v>-0.4001</v>
      </c>
    </row>
    <row r="116">
      <c r="A116" t="inlineStr">
        <is>
          <t>36628846</t>
        </is>
      </c>
      <c r="B116" t="inlineStr">
        <is>
          <t>PRODUCTO 6516CA</t>
        </is>
      </c>
      <c r="C116" t="inlineStr">
        <is>
          <t>NAVIGATA</t>
        </is>
      </c>
      <c r="D116" t="inlineStr">
        <is>
          <t>CASACAS</t>
        </is>
      </c>
      <c r="E116" t="inlineStr">
        <is>
          <t>NAVIGATA HOMBRE</t>
        </is>
      </c>
      <c r="F116" t="n">
        <v>22</v>
      </c>
      <c r="G116" t="n">
        <v>269.99</v>
      </c>
      <c r="H116" t="n">
        <v>79.98999999999999</v>
      </c>
      <c r="I116" t="n">
        <v>62.02</v>
      </c>
      <c r="J116" t="inlineStr">
        <is>
          <t>OI</t>
        </is>
      </c>
      <c r="K116" t="inlineStr">
        <is>
          <t>RANGO 3_6</t>
        </is>
      </c>
      <c r="L116" t="n">
        <v>28</v>
      </c>
      <c r="M116" t="n">
        <v>26</v>
      </c>
      <c r="N116" t="n">
        <v>23</v>
      </c>
      <c r="O116" t="n">
        <v>30</v>
      </c>
      <c r="P116" t="n">
        <v>32</v>
      </c>
      <c r="R116">
        <f>IF(G799&gt;0,1-H799/G799,"")</f>
        <v/>
      </c>
      <c r="S116">
        <f>IF(G799&gt;0,(G799/1.18-I799)/(G799/1.18),"")</f>
        <v/>
      </c>
      <c r="T116">
        <f>IF(H799&gt;0,(H799/1.18-I799)/(H799/1.18),"")</f>
        <v/>
      </c>
      <c r="U116" t="inlineStr">
        <is>
          <t>NOOS</t>
        </is>
      </c>
      <c r="V116" t="n">
        <v>7132.37</v>
      </c>
      <c r="W116" t="n">
        <v>247.91</v>
      </c>
      <c r="X116" t="n">
        <v>0.0348</v>
      </c>
    </row>
    <row r="117">
      <c r="A117" t="inlineStr">
        <is>
          <t>36647371</t>
        </is>
      </c>
      <c r="B117" t="inlineStr">
        <is>
          <t>PRODUCTO ADFC17</t>
        </is>
      </c>
      <c r="C117" t="inlineStr">
        <is>
          <t>CACHAREL</t>
        </is>
      </c>
      <c r="D117" t="inlineStr">
        <is>
          <t>CHOMPAS</t>
        </is>
      </c>
      <c r="E117" t="inlineStr">
        <is>
          <t>CACHAREL HOMBRE</t>
        </is>
      </c>
      <c r="F117" t="n">
        <v>23</v>
      </c>
      <c r="G117" t="n">
        <v>129.99</v>
      </c>
      <c r="H117" t="n">
        <v>29.99</v>
      </c>
      <c r="I117" t="n">
        <v>32.73</v>
      </c>
      <c r="J117" t="inlineStr">
        <is>
          <t>OI</t>
        </is>
      </c>
      <c r="K117" t="inlineStr">
        <is>
          <t>RANGO 3_6</t>
        </is>
      </c>
      <c r="L117" t="n">
        <v>17</v>
      </c>
      <c r="M117" t="n">
        <v>33</v>
      </c>
      <c r="N117" t="n">
        <v>39</v>
      </c>
      <c r="O117" t="n">
        <v>53</v>
      </c>
      <c r="P117" t="n">
        <v>33</v>
      </c>
      <c r="R117">
        <f>IF(G807&gt;0,1-H807/G807,"")</f>
        <v/>
      </c>
      <c r="S117">
        <f>IF(G807&gt;0,(G807/1.18-I807)/(G807/1.18),"")</f>
        <v/>
      </c>
      <c r="T117">
        <f>IF(H807&gt;0,(H807/1.18-I807)/(H807/1.18),"")</f>
        <v/>
      </c>
      <c r="U117" t="inlineStr">
        <is>
          <t>NOOS</t>
        </is>
      </c>
      <c r="V117" t="n">
        <v>4169.06</v>
      </c>
      <c r="W117" t="n">
        <v>-1002.7</v>
      </c>
      <c r="X117" t="n">
        <v>-0.2405</v>
      </c>
    </row>
    <row r="118">
      <c r="A118" t="inlineStr">
        <is>
          <t>36649794</t>
        </is>
      </c>
      <c r="B118" t="inlineStr">
        <is>
          <t>PRODUCTO E8D13F</t>
        </is>
      </c>
      <c r="C118" t="inlineStr">
        <is>
          <t>NAVIGATA</t>
        </is>
      </c>
      <c r="D118" t="inlineStr">
        <is>
          <t>CHOMPAS</t>
        </is>
      </c>
      <c r="E118" t="inlineStr">
        <is>
          <t>NAVIGATA HOMBRE</t>
        </is>
      </c>
      <c r="F118" t="n">
        <v>20</v>
      </c>
      <c r="G118" t="n">
        <v>129.99</v>
      </c>
      <c r="H118" t="n">
        <v>49.99</v>
      </c>
      <c r="I118" t="n">
        <v>28.35</v>
      </c>
      <c r="J118" t="inlineStr">
        <is>
          <t>PV</t>
        </is>
      </c>
      <c r="K118" t="inlineStr">
        <is>
          <t>RANGO 3_6</t>
        </is>
      </c>
      <c r="L118" t="n">
        <v>252</v>
      </c>
      <c r="M118" t="n">
        <v>29</v>
      </c>
      <c r="N118" t="n">
        <v>30</v>
      </c>
      <c r="O118" t="n">
        <v>28</v>
      </c>
      <c r="P118" t="n">
        <v>26</v>
      </c>
      <c r="R118">
        <f>IF(G816&gt;0,1-H816/G816,"")</f>
        <v/>
      </c>
      <c r="S118">
        <f>IF(G816&gt;0,(G816/1.18-I816)/(G816/1.18),"")</f>
        <v/>
      </c>
      <c r="T118">
        <f>IF(H816&gt;0,(H816/1.18-I816)/(H816/1.18),"")</f>
        <v/>
      </c>
      <c r="U118" t="inlineStr">
        <is>
          <t>NOOS</t>
        </is>
      </c>
      <c r="V118" t="n">
        <v>5459.96</v>
      </c>
      <c r="W118" t="n">
        <v>2255.9</v>
      </c>
      <c r="X118" t="n">
        <v>0.4132</v>
      </c>
    </row>
    <row r="119">
      <c r="A119" t="inlineStr">
        <is>
          <t>36658901</t>
        </is>
      </c>
      <c r="B119" t="inlineStr">
        <is>
          <t>PRODUCTO 0EB295</t>
        </is>
      </c>
      <c r="C119" t="inlineStr">
        <is>
          <t>CACHAREL</t>
        </is>
      </c>
      <c r="D119" t="inlineStr">
        <is>
          <t>CASACAS</t>
        </is>
      </c>
      <c r="E119" t="inlineStr">
        <is>
          <t>CACHAREL HOMBRE</t>
        </is>
      </c>
      <c r="F119" t="n">
        <v>18</v>
      </c>
      <c r="G119" t="n">
        <v>219.99</v>
      </c>
      <c r="H119" t="n">
        <v>99.98999999999999</v>
      </c>
      <c r="I119" t="n">
        <v>65.56</v>
      </c>
      <c r="J119" t="inlineStr">
        <is>
          <t>PV</t>
        </is>
      </c>
      <c r="K119" t="inlineStr">
        <is>
          <t>RANGO 3_6</t>
        </is>
      </c>
      <c r="L119" t="n">
        <v>72</v>
      </c>
      <c r="M119" t="n">
        <v>33</v>
      </c>
      <c r="N119" t="n">
        <v>21</v>
      </c>
      <c r="O119" t="n">
        <v>21</v>
      </c>
      <c r="P119" t="n">
        <v>18</v>
      </c>
      <c r="R119">
        <f>IF(G819&gt;0,1-H819/G819,"")</f>
        <v/>
      </c>
      <c r="S119">
        <f>IF(G819&gt;0,(G819/1.18-I819)/(G819/1.18),"")</f>
        <v/>
      </c>
      <c r="T119">
        <f>IF(H819&gt;0,(H819/1.18-I819)/(H819/1.18),"")</f>
        <v/>
      </c>
      <c r="U119" t="inlineStr">
        <is>
          <t>NOOS</t>
        </is>
      </c>
      <c r="V119" t="n">
        <v>8066.98</v>
      </c>
      <c r="W119" t="n">
        <v>1970.24</v>
      </c>
      <c r="X119" t="n">
        <v>0.2442</v>
      </c>
    </row>
    <row r="120">
      <c r="A120" t="inlineStr">
        <is>
          <t>36664652</t>
        </is>
      </c>
      <c r="B120" t="inlineStr">
        <is>
          <t>PRODUCTO 97BB21</t>
        </is>
      </c>
      <c r="C120" t="inlineStr">
        <is>
          <t>SELECTED</t>
        </is>
      </c>
      <c r="D120" t="inlineStr">
        <is>
          <t>POLOS M/C</t>
        </is>
      </c>
      <c r="E120" t="inlineStr">
        <is>
          <t>MARCAS CASUAL INTERNACIONAL HOMBRE</t>
        </is>
      </c>
      <c r="F120" t="n">
        <v>35</v>
      </c>
      <c r="G120" t="n">
        <v>199.99</v>
      </c>
      <c r="H120" t="n">
        <v>119.99</v>
      </c>
      <c r="I120" t="n">
        <v>59.77</v>
      </c>
      <c r="J120" t="inlineStr">
        <is>
          <t>OI</t>
        </is>
      </c>
      <c r="K120" t="inlineStr">
        <is>
          <t>RANGO 6_9</t>
        </is>
      </c>
      <c r="L120" t="n">
        <v>0</v>
      </c>
      <c r="M120" t="n">
        <v>6</v>
      </c>
      <c r="N120" t="n">
        <v>3</v>
      </c>
      <c r="O120" t="n">
        <v>2</v>
      </c>
      <c r="P120" t="n">
        <v>2</v>
      </c>
      <c r="R120">
        <f>IF(G831&gt;0,1-H831/G831,"")</f>
        <v/>
      </c>
      <c r="S120">
        <f>IF(G831&gt;0,(G831/1.18-I831)/(G831/1.18),"")</f>
        <v/>
      </c>
      <c r="T120">
        <f>IF(H831&gt;0,(H831/1.18-I831)/(H831/1.18),"")</f>
        <v/>
      </c>
      <c r="U120" t="inlineStr">
        <is>
          <t>NOOS</t>
        </is>
      </c>
      <c r="V120" t="n">
        <v>1311.75</v>
      </c>
      <c r="W120" t="n">
        <v>534.74</v>
      </c>
      <c r="X120" t="n">
        <v>0.4077</v>
      </c>
    </row>
    <row r="121">
      <c r="A121" t="inlineStr">
        <is>
          <t>36664661</t>
        </is>
      </c>
      <c r="B121" t="inlineStr">
        <is>
          <t>PRODUCTO 422168</t>
        </is>
      </c>
      <c r="C121" t="inlineStr">
        <is>
          <t>SELECTED</t>
        </is>
      </c>
      <c r="D121" t="inlineStr">
        <is>
          <t>POLOS M/C</t>
        </is>
      </c>
      <c r="E121" t="inlineStr">
        <is>
          <t>MARCAS CASUAL INTERNACIONAL HOMBRE</t>
        </is>
      </c>
      <c r="F121" t="n">
        <v>35</v>
      </c>
      <c r="G121" t="n">
        <v>149.99</v>
      </c>
      <c r="H121" t="n">
        <v>89.98999999999999</v>
      </c>
      <c r="I121" t="n">
        <v>58.14</v>
      </c>
      <c r="J121" t="inlineStr">
        <is>
          <t>OI</t>
        </is>
      </c>
      <c r="K121" t="inlineStr">
        <is>
          <t>RANGO 6_9</t>
        </is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R121">
        <f>IF(G832&gt;0,1-H832/G832,"")</f>
        <v/>
      </c>
      <c r="S121">
        <f>IF(G832&gt;0,(G832/1.18-I832)/(G832/1.18),"")</f>
        <v/>
      </c>
      <c r="T121">
        <f>IF(H832&gt;0,(H832/1.18-I832)/(H832/1.18),"")</f>
        <v/>
      </c>
      <c r="U121" t="inlineStr">
        <is>
          <t>NOOS</t>
        </is>
      </c>
      <c r="V121" t="n">
        <v>228.78</v>
      </c>
      <c r="W121" t="n">
        <v>54.36</v>
      </c>
      <c r="X121" t="n">
        <v>0.2376</v>
      </c>
    </row>
    <row r="122">
      <c r="A122" t="inlineStr">
        <is>
          <t>36664679</t>
        </is>
      </c>
      <c r="B122" t="inlineStr">
        <is>
          <t>PRODUCTO 18B6CB</t>
        </is>
      </c>
      <c r="C122" t="inlineStr">
        <is>
          <t>SELECTED</t>
        </is>
      </c>
      <c r="D122" t="inlineStr">
        <is>
          <t>POLOS M/C</t>
        </is>
      </c>
      <c r="E122" t="inlineStr">
        <is>
          <t>MARCAS CASUAL INTERNACIONAL HOMBRE</t>
        </is>
      </c>
      <c r="F122" t="n">
        <v>35</v>
      </c>
      <c r="G122" t="n">
        <v>89.98999999999999</v>
      </c>
      <c r="H122" t="n">
        <v>49.99</v>
      </c>
      <c r="I122" t="n">
        <v>28.18</v>
      </c>
      <c r="J122" t="inlineStr">
        <is>
          <t>OI</t>
        </is>
      </c>
      <c r="K122" t="inlineStr">
        <is>
          <t>RANGO 6_9</t>
        </is>
      </c>
      <c r="L122" t="n">
        <v>5</v>
      </c>
      <c r="M122" t="n">
        <v>0</v>
      </c>
      <c r="N122" t="n">
        <v>3</v>
      </c>
      <c r="O122" t="n">
        <v>5</v>
      </c>
      <c r="P122" t="n">
        <v>1</v>
      </c>
      <c r="R122">
        <f>IF(G834&gt;0,1-H834/G834,"")</f>
        <v/>
      </c>
      <c r="S122">
        <f>IF(G834&gt;0,(G834/1.18-I834)/(G834/1.18),"")</f>
        <v/>
      </c>
      <c r="T122">
        <f>IF(H834&gt;0,(H834/1.18-I834)/(H834/1.18),"")</f>
        <v/>
      </c>
      <c r="U122" t="inlineStr">
        <is>
          <t>NOOS</t>
        </is>
      </c>
      <c r="V122" t="n">
        <v>381.24</v>
      </c>
      <c r="W122" t="n">
        <v>127.62</v>
      </c>
      <c r="X122" t="n">
        <v>0.3347</v>
      </c>
    </row>
    <row r="123">
      <c r="A123" t="inlineStr">
        <is>
          <t>36664688</t>
        </is>
      </c>
      <c r="B123" t="inlineStr">
        <is>
          <t>PRODUCTO 0102BA</t>
        </is>
      </c>
      <c r="C123" t="inlineStr">
        <is>
          <t>SELECTED</t>
        </is>
      </c>
      <c r="D123" t="inlineStr">
        <is>
          <t>POLOS M/C</t>
        </is>
      </c>
      <c r="E123" t="inlineStr">
        <is>
          <t>MARCAS CASUAL INTERNACIONAL HOMBRE</t>
        </is>
      </c>
      <c r="F123" t="n">
        <v>35</v>
      </c>
      <c r="G123" t="n">
        <v>119.99</v>
      </c>
      <c r="H123" t="n">
        <v>69.98999999999999</v>
      </c>
      <c r="I123" t="n">
        <v>38.08</v>
      </c>
      <c r="J123" t="inlineStr">
        <is>
          <t>OI</t>
        </is>
      </c>
      <c r="K123" t="inlineStr">
        <is>
          <t>RANGO 6_9</t>
        </is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R123">
        <f>IF(G835&gt;0,1-H835/G835,"")</f>
        <v/>
      </c>
      <c r="S123">
        <f>IF(G835&gt;0,(G835/1.18-I835)/(G835/1.18),"")</f>
        <v/>
      </c>
      <c r="T123">
        <f>IF(H835&gt;0,(H835/1.18-I835)/(H835/1.18),"")</f>
        <v/>
      </c>
      <c r="U123" t="inlineStr">
        <is>
          <t>NOOS</t>
        </is>
      </c>
      <c r="V123" t="n">
        <v>118.55</v>
      </c>
      <c r="W123" t="n">
        <v>42.39</v>
      </c>
      <c r="X123" t="n">
        <v>0.3576</v>
      </c>
    </row>
    <row r="124">
      <c r="A124" t="inlineStr">
        <is>
          <t>36667952</t>
        </is>
      </c>
      <c r="B124" t="inlineStr">
        <is>
          <t>PRODUCTO F3EEE1</t>
        </is>
      </c>
      <c r="C124" t="inlineStr">
        <is>
          <t>DOCKERS</t>
        </is>
      </c>
      <c r="D124" t="inlineStr">
        <is>
          <t>POLOS M/C</t>
        </is>
      </c>
      <c r="E124" t="inlineStr">
        <is>
          <t>MARCAS CASUAL NACIONAL HOMBRE</t>
        </is>
      </c>
      <c r="F124" t="n">
        <v>38</v>
      </c>
      <c r="G124" t="n">
        <v>139</v>
      </c>
      <c r="H124" t="n">
        <v>139</v>
      </c>
      <c r="I124" t="n">
        <v>70.68000000000001</v>
      </c>
      <c r="J124" t="inlineStr">
        <is>
          <t>OI</t>
        </is>
      </c>
      <c r="K124" t="inlineStr">
        <is>
          <t>RANGO 6_9</t>
        </is>
      </c>
      <c r="L124" t="n">
        <v>5</v>
      </c>
      <c r="M124" t="n">
        <v>1</v>
      </c>
      <c r="N124" t="n">
        <v>1</v>
      </c>
      <c r="O124" t="n">
        <v>0</v>
      </c>
      <c r="P124" t="n">
        <v>1</v>
      </c>
      <c r="R124">
        <f>IF(G845&gt;0,1-H845/G845,"")</f>
        <v/>
      </c>
      <c r="S124">
        <f>IF(G845&gt;0,(G845/1.18-I845)/(G845/1.18),"")</f>
        <v/>
      </c>
      <c r="T124">
        <f>IF(H845&gt;0,(H845/1.18-I845)/(H845/1.18),"")</f>
        <v/>
      </c>
      <c r="U124" t="inlineStr">
        <is>
          <t>NOOS</t>
        </is>
      </c>
      <c r="V124" t="n">
        <v>306.28</v>
      </c>
      <c r="W124" t="n">
        <v>94.23999999999999</v>
      </c>
      <c r="X124" t="n">
        <v>0.3077</v>
      </c>
    </row>
    <row r="125">
      <c r="A125" t="inlineStr">
        <is>
          <t>36669100</t>
        </is>
      </c>
      <c r="B125" t="inlineStr">
        <is>
          <t>PRODUCTO F9BFBF</t>
        </is>
      </c>
      <c r="C125" t="inlineStr">
        <is>
          <t>MARQUIS</t>
        </is>
      </c>
      <c r="D125" t="inlineStr">
        <is>
          <t>CAMISAS M/C</t>
        </is>
      </c>
      <c r="E125" t="inlineStr">
        <is>
          <t>MARQUIS HOMBRE</t>
        </is>
      </c>
      <c r="F125" t="n">
        <v>38</v>
      </c>
      <c r="G125" t="n">
        <v>189.99</v>
      </c>
      <c r="H125" t="n">
        <v>29.99</v>
      </c>
      <c r="I125" t="n">
        <v>52</v>
      </c>
      <c r="J125" t="inlineStr">
        <is>
          <t>OI</t>
        </is>
      </c>
      <c r="K125" t="inlineStr">
        <is>
          <t>RANGO 6_9</t>
        </is>
      </c>
      <c r="L125" t="n">
        <v>0</v>
      </c>
      <c r="M125" t="n">
        <v>2</v>
      </c>
      <c r="N125" t="n">
        <v>1</v>
      </c>
      <c r="O125" t="n">
        <v>2</v>
      </c>
      <c r="P125" t="n">
        <v>4</v>
      </c>
      <c r="R125">
        <f>IF(G847&gt;0,1-H847/G847,"")</f>
        <v/>
      </c>
      <c r="S125">
        <f>IF(G847&gt;0,(G847/1.18-I847)/(G847/1.18),"")</f>
        <v/>
      </c>
      <c r="T125">
        <f>IF(H847&gt;0,(H847/1.18-I847)/(H847/1.18),"")</f>
        <v/>
      </c>
      <c r="U125" t="inlineStr">
        <is>
          <t>NOOS</t>
        </is>
      </c>
      <c r="V125" t="n">
        <v>213.45</v>
      </c>
      <c r="W125" t="n">
        <v>-254.55</v>
      </c>
      <c r="X125" t="n">
        <v>-1.1926</v>
      </c>
    </row>
    <row r="126">
      <c r="A126" t="inlineStr">
        <is>
          <t>36677296</t>
        </is>
      </c>
      <c r="B126" t="inlineStr">
        <is>
          <t>PRODUCTO 8D2A14</t>
        </is>
      </c>
      <c r="C126" t="inlineStr">
        <is>
          <t>JOHN HOLDEN</t>
        </is>
      </c>
      <c r="D126" t="inlineStr">
        <is>
          <t>BLAZERS</t>
        </is>
      </c>
      <c r="E126" t="inlineStr">
        <is>
          <t>MARCAS CASUAL NACIONAL HOMBRE</t>
        </is>
      </c>
      <c r="F126" t="n">
        <v>20</v>
      </c>
      <c r="G126" t="n">
        <v>499.9</v>
      </c>
      <c r="H126" t="n">
        <v>199.9</v>
      </c>
      <c r="I126" t="n">
        <v>234.04</v>
      </c>
      <c r="J126" t="inlineStr">
        <is>
          <t>OI</t>
        </is>
      </c>
      <c r="K126" t="inlineStr">
        <is>
          <t>RANGO 3_6</t>
        </is>
      </c>
      <c r="L126" t="n">
        <v>1</v>
      </c>
      <c r="M126" t="n">
        <v>5</v>
      </c>
      <c r="N126" t="n">
        <v>5</v>
      </c>
      <c r="O126" t="n">
        <v>8</v>
      </c>
      <c r="P126" t="n">
        <v>11</v>
      </c>
      <c r="R126">
        <f>IF(G852&gt;0,1-H852/G852,"")</f>
        <v/>
      </c>
      <c r="S126">
        <f>IF(G852&gt;0,(G852/1.18-I852)/(G852/1.18),"")</f>
        <v/>
      </c>
      <c r="T126">
        <f>IF(H852&gt;0,(H852/1.18-I852)/(H852/1.18),"")</f>
        <v/>
      </c>
      <c r="U126" t="inlineStr">
        <is>
          <t>NOOS</t>
        </is>
      </c>
      <c r="V126" t="n">
        <v>4764.58</v>
      </c>
      <c r="W126" t="n">
        <v>-2031.66</v>
      </c>
      <c r="X126" t="n">
        <v>-0.4264</v>
      </c>
    </row>
    <row r="127">
      <c r="A127" t="inlineStr">
        <is>
          <t>36677307</t>
        </is>
      </c>
      <c r="B127" t="inlineStr">
        <is>
          <t>PRODUCTO F844CF</t>
        </is>
      </c>
      <c r="C127" t="inlineStr">
        <is>
          <t>JOHN HOLDEN</t>
        </is>
      </c>
      <c r="D127" t="inlineStr">
        <is>
          <t>PANTALONES</t>
        </is>
      </c>
      <c r="E127" t="inlineStr">
        <is>
          <t>MARCAS CASUAL NACIONAL HOMBRE</t>
        </is>
      </c>
      <c r="F127" t="n">
        <v>25</v>
      </c>
      <c r="G127" t="n">
        <v>249.9</v>
      </c>
      <c r="H127" t="n">
        <v>99.95999999999999</v>
      </c>
      <c r="I127" t="n">
        <v>110.72</v>
      </c>
      <c r="J127" t="inlineStr">
        <is>
          <t>OI</t>
        </is>
      </c>
      <c r="K127" t="inlineStr">
        <is>
          <t>RANGO 3_6</t>
        </is>
      </c>
      <c r="L127" t="n">
        <v>1</v>
      </c>
      <c r="M127" t="n">
        <v>2</v>
      </c>
      <c r="N127" t="n">
        <v>2</v>
      </c>
      <c r="O127" t="n">
        <v>1</v>
      </c>
      <c r="P127" t="n">
        <v>3</v>
      </c>
      <c r="R127">
        <f>IF(G853&gt;0,1-H853/G853,"")</f>
        <v/>
      </c>
      <c r="S127">
        <f>IF(G853&gt;0,(G853/1.18-I853)/(G853/1.18),"")</f>
        <v/>
      </c>
      <c r="T127">
        <f>IF(H853&gt;0,(H853/1.18-I853)/(H853/1.18),"")</f>
        <v/>
      </c>
      <c r="U127" t="inlineStr">
        <is>
          <t>NOOS</t>
        </is>
      </c>
      <c r="V127" t="n">
        <v>660.74</v>
      </c>
      <c r="W127" t="n">
        <v>-227.86</v>
      </c>
      <c r="X127" t="n">
        <v>-0.3449</v>
      </c>
    </row>
    <row r="128">
      <c r="A128" t="inlineStr">
        <is>
          <t>36678450</t>
        </is>
      </c>
      <c r="B128" t="inlineStr">
        <is>
          <t>PRODUCTO FB4091</t>
        </is>
      </c>
      <c r="C128" t="inlineStr">
        <is>
          <t>JOHN HOLDEN</t>
        </is>
      </c>
      <c r="D128" t="inlineStr">
        <is>
          <t>CAMISAS M/C</t>
        </is>
      </c>
      <c r="E128" t="inlineStr">
        <is>
          <t>MARCAS CASUAL NACIONAL HOMBRE</t>
        </is>
      </c>
      <c r="F128" t="n">
        <v>29</v>
      </c>
      <c r="G128" t="n">
        <v>179.9</v>
      </c>
      <c r="H128" t="n">
        <v>89.95</v>
      </c>
      <c r="I128" t="n">
        <v>84.7</v>
      </c>
      <c r="J128" t="inlineStr">
        <is>
          <t>OI</t>
        </is>
      </c>
      <c r="K128" t="inlineStr">
        <is>
          <t>RANGO 6_9</t>
        </is>
      </c>
      <c r="L128" t="n">
        <v>0</v>
      </c>
      <c r="M128" t="n">
        <v>2</v>
      </c>
      <c r="N128" t="n">
        <v>1</v>
      </c>
      <c r="O128" t="n">
        <v>0</v>
      </c>
      <c r="P128" t="n">
        <v>3</v>
      </c>
      <c r="R128">
        <f>IF(G866&gt;0,1-H866/G866,"")</f>
        <v/>
      </c>
      <c r="S128">
        <f>IF(G866&gt;0,(G866/1.18-I866)/(G866/1.18),"")</f>
        <v/>
      </c>
      <c r="T128">
        <f>IF(H866&gt;0,(H866/1.18-I866)/(H866/1.18),"")</f>
        <v/>
      </c>
      <c r="U128" t="inlineStr">
        <is>
          <t>NOOS</t>
        </is>
      </c>
      <c r="V128" t="n">
        <v>457.38</v>
      </c>
      <c r="W128" t="n">
        <v>-50.82</v>
      </c>
      <c r="X128" t="n">
        <v>-0.1111</v>
      </c>
    </row>
    <row r="129">
      <c r="A129" t="inlineStr">
        <is>
          <t>36678476</t>
        </is>
      </c>
      <c r="B129" t="inlineStr">
        <is>
          <t>PRODUCTO 9332CE</t>
        </is>
      </c>
      <c r="C129" t="inlineStr">
        <is>
          <t>JOHN HOLDEN</t>
        </is>
      </c>
      <c r="D129" t="inlineStr">
        <is>
          <t>CAMISAS M/C</t>
        </is>
      </c>
      <c r="E129" t="inlineStr">
        <is>
          <t>MARCAS CASUAL NACIONAL HOMBRE</t>
        </is>
      </c>
      <c r="F129" t="n">
        <v>29</v>
      </c>
      <c r="G129" t="n">
        <v>179.9</v>
      </c>
      <c r="H129" t="n">
        <v>89.95</v>
      </c>
      <c r="I129" t="n">
        <v>61.59</v>
      </c>
      <c r="J129" t="inlineStr">
        <is>
          <t>OI</t>
        </is>
      </c>
      <c r="K129" t="inlineStr">
        <is>
          <t>RANGO 6_9</t>
        </is>
      </c>
      <c r="L129" t="n">
        <v>2</v>
      </c>
      <c r="M129" t="n">
        <v>0</v>
      </c>
      <c r="N129" t="n">
        <v>0</v>
      </c>
      <c r="O129" t="n">
        <v>1</v>
      </c>
      <c r="P129" t="n">
        <v>1</v>
      </c>
      <c r="R129">
        <f>IF(G870&gt;0,1-H870/G870,"")</f>
        <v/>
      </c>
      <c r="S129">
        <f>IF(G870&gt;0,(G870/1.18-I870)/(G870/1.18),"")</f>
        <v/>
      </c>
      <c r="T129">
        <f>IF(H870&gt;0,(H870/1.18-I870)/(H870/1.18),"")</f>
        <v/>
      </c>
      <c r="U129" t="inlineStr">
        <is>
          <t>NOOS</t>
        </is>
      </c>
      <c r="V129" t="n">
        <v>152.46</v>
      </c>
      <c r="W129" t="n">
        <v>29.28</v>
      </c>
      <c r="X129" t="n">
        <v>0.1921</v>
      </c>
    </row>
    <row r="130">
      <c r="A130" t="inlineStr">
        <is>
          <t>36678547</t>
        </is>
      </c>
      <c r="B130" t="inlineStr">
        <is>
          <t>PRODUCTO 27F8D4</t>
        </is>
      </c>
      <c r="C130" t="inlineStr">
        <is>
          <t>JOHN HOLDEN</t>
        </is>
      </c>
      <c r="D130" t="inlineStr">
        <is>
          <t>CAMISAS M/L</t>
        </is>
      </c>
      <c r="E130" t="inlineStr">
        <is>
          <t>MARCAS CASUAL NACIONAL HOMBRE</t>
        </is>
      </c>
      <c r="F130" t="n">
        <v>41</v>
      </c>
      <c r="G130" t="n">
        <v>199.9</v>
      </c>
      <c r="H130" t="n">
        <v>99.98999999999999</v>
      </c>
      <c r="I130" t="n">
        <v>94.11</v>
      </c>
      <c r="J130" t="inlineStr">
        <is>
          <t>OI</t>
        </is>
      </c>
      <c r="K130" t="inlineStr">
        <is>
          <t>RANGO 9_12</t>
        </is>
      </c>
      <c r="L130" t="n">
        <v>2</v>
      </c>
      <c r="M130" t="n">
        <v>0</v>
      </c>
      <c r="N130" t="n">
        <v>0</v>
      </c>
      <c r="O130" t="n">
        <v>0</v>
      </c>
      <c r="P130" t="n">
        <v>1</v>
      </c>
      <c r="R130">
        <f>IF(G882&gt;0,1-H882/G882,"")</f>
        <v/>
      </c>
      <c r="S130">
        <f>IF(G882&gt;0,(G882/1.18-I882)/(G882/1.18),"")</f>
        <v/>
      </c>
      <c r="T130">
        <f>IF(H882&gt;0,(H882/1.18-I882)/(H882/1.18),"")</f>
        <v/>
      </c>
      <c r="U130" t="inlineStr">
        <is>
          <t>NOOS</t>
        </is>
      </c>
      <c r="V130" t="n">
        <v>84.73999999999999</v>
      </c>
      <c r="W130" t="n">
        <v>-9.369999999999999</v>
      </c>
      <c r="X130" t="n">
        <v>-0.1106</v>
      </c>
    </row>
    <row r="131">
      <c r="A131" t="inlineStr">
        <is>
          <t>36678575</t>
        </is>
      </c>
      <c r="B131" t="inlineStr">
        <is>
          <t>PRODUCTO 679070</t>
        </is>
      </c>
      <c r="C131" t="inlineStr">
        <is>
          <t>JOHN HOLDEN</t>
        </is>
      </c>
      <c r="D131" t="inlineStr">
        <is>
          <t>CAMISAS M/L</t>
        </is>
      </c>
      <c r="E131" t="inlineStr">
        <is>
          <t>MARCAS CASUAL NACIONAL HOMBRE</t>
        </is>
      </c>
      <c r="F131" t="n">
        <v>12</v>
      </c>
      <c r="G131" t="n">
        <v>179.9</v>
      </c>
      <c r="H131" t="n">
        <v>179.9</v>
      </c>
      <c r="I131" t="n">
        <v>58.7</v>
      </c>
      <c r="J131" t="inlineStr">
        <is>
          <t>OI</t>
        </is>
      </c>
      <c r="K131" t="inlineStr">
        <is>
          <t>RANGO 0_3</t>
        </is>
      </c>
      <c r="L131" t="n">
        <v>73</v>
      </c>
      <c r="M131" t="n">
        <v>12</v>
      </c>
      <c r="N131" t="n">
        <v>33</v>
      </c>
      <c r="O131" t="n">
        <v>15</v>
      </c>
      <c r="P131" t="n">
        <v>25</v>
      </c>
      <c r="R131">
        <f>IF(G885&gt;0,1-H885/G885,"")</f>
        <v/>
      </c>
      <c r="S131">
        <f>IF(G885&gt;0,(G885/1.18-I885)/(G885/1.18),"")</f>
        <v/>
      </c>
      <c r="T131">
        <f>IF(H885&gt;0,(H885/1.18-I885)/(H885/1.18),"")</f>
        <v/>
      </c>
      <c r="U131" t="inlineStr">
        <is>
          <t>NOOS</t>
        </is>
      </c>
      <c r="V131" t="n">
        <v>8506.27</v>
      </c>
      <c r="W131" t="n">
        <v>3439.41</v>
      </c>
      <c r="X131" t="n">
        <v>0.4043</v>
      </c>
    </row>
    <row r="132">
      <c r="A132" t="inlineStr">
        <is>
          <t>36682379</t>
        </is>
      </c>
      <c r="B132" t="inlineStr">
        <is>
          <t>PRODUCTO 24BE27</t>
        </is>
      </c>
      <c r="C132" t="inlineStr">
        <is>
          <t>DOCKERS</t>
        </is>
      </c>
      <c r="D132" t="inlineStr">
        <is>
          <t>ACCESORIOS</t>
        </is>
      </c>
      <c r="E132" t="inlineStr">
        <is>
          <t>MARCAS CASUAL NACIONAL HOMBRE</t>
        </is>
      </c>
      <c r="F132" t="n">
        <v>20</v>
      </c>
      <c r="G132" t="n">
        <v>99</v>
      </c>
      <c r="H132" t="n">
        <v>99</v>
      </c>
      <c r="I132" t="n">
        <v>50.34</v>
      </c>
      <c r="J132" t="inlineStr">
        <is>
          <t>TT</t>
        </is>
      </c>
      <c r="K132" t="inlineStr">
        <is>
          <t>RANGO 3_6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R132">
        <f>IF(G903&gt;0,1-H903/G903,"")</f>
        <v/>
      </c>
      <c r="S132">
        <f>IF(G903&gt;0,(G903/1.18-I903)/(G903/1.18),"")</f>
        <v/>
      </c>
      <c r="T132">
        <f>IF(H903&gt;0,(H903/1.18-I903)/(H903/1.18),"")</f>
        <v/>
      </c>
      <c r="U132" t="inlineStr">
        <is>
          <t>NOOS</t>
        </is>
      </c>
      <c r="V132" t="n">
        <v>0</v>
      </c>
      <c r="W132" t="n">
        <v>0</v>
      </c>
    </row>
    <row r="133">
      <c r="A133" t="inlineStr">
        <is>
          <t>36696455</t>
        </is>
      </c>
      <c r="B133" t="inlineStr">
        <is>
          <t>PRODUCTO DA7CFE</t>
        </is>
      </c>
      <c r="C133" t="inlineStr">
        <is>
          <t>OSCAR DE LA RENTA</t>
        </is>
      </c>
      <c r="D133" t="inlineStr">
        <is>
          <t>CAMISAS M/L</t>
        </is>
      </c>
      <c r="E133" t="inlineStr">
        <is>
          <t>MARCAS CASUAL INTERNACIONAL HOMBRE</t>
        </is>
      </c>
      <c r="F133" t="n">
        <v>33</v>
      </c>
      <c r="G133" t="n">
        <v>219.99</v>
      </c>
      <c r="H133" t="n">
        <v>109.99</v>
      </c>
      <c r="I133" t="n">
        <v>73.33</v>
      </c>
      <c r="J133" t="inlineStr">
        <is>
          <t>OI</t>
        </is>
      </c>
      <c r="K133" t="inlineStr">
        <is>
          <t>RANGO 6_9</t>
        </is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R133">
        <f>IF(G917&gt;0,1-H917/G917,"")</f>
        <v/>
      </c>
      <c r="S133">
        <f>IF(G917&gt;0,(G917/1.18-I917)/(G917/1.18),"")</f>
        <v/>
      </c>
      <c r="T133">
        <f>IF(H917&gt;0,(H917/1.18-I917)/(H917/1.18),"")</f>
        <v/>
      </c>
      <c r="U133" t="inlineStr">
        <is>
          <t>NOOS</t>
        </is>
      </c>
      <c r="V133" t="n">
        <v>130.42</v>
      </c>
      <c r="W133" t="n">
        <v>54.66</v>
      </c>
      <c r="X133" t="n">
        <v>0.4191</v>
      </c>
    </row>
    <row r="134">
      <c r="A134" t="inlineStr">
        <is>
          <t>36742813</t>
        </is>
      </c>
      <c r="B134" t="inlineStr">
        <is>
          <t>PRODUCTO BC8053</t>
        </is>
      </c>
      <c r="C134" t="inlineStr">
        <is>
          <t>NAUTICA</t>
        </is>
      </c>
      <c r="D134" t="inlineStr">
        <is>
          <t>POLOS M/C</t>
        </is>
      </c>
      <c r="E134" t="inlineStr">
        <is>
          <t>MARCAS CASUAL INTERNACIONAL HOMBRE</t>
        </is>
      </c>
      <c r="F134" t="n">
        <v>33</v>
      </c>
      <c r="G134" t="n">
        <v>299.99</v>
      </c>
      <c r="H134" t="n">
        <v>169.99</v>
      </c>
      <c r="I134" t="n">
        <v>100.11</v>
      </c>
      <c r="J134" t="inlineStr">
        <is>
          <t>OI</t>
        </is>
      </c>
      <c r="K134" t="inlineStr">
        <is>
          <t>RANGO 6_9</t>
        </is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R134">
        <f>IF(G932&gt;0,1-H932/G932,"")</f>
        <v/>
      </c>
      <c r="S134">
        <f>IF(G932&gt;0,(G932/1.18-I932)/(G932/1.18),"")</f>
        <v/>
      </c>
      <c r="T134">
        <f>IF(H932&gt;0,(H932/1.18-I932)/(H932/1.18),"")</f>
        <v/>
      </c>
      <c r="U134" t="inlineStr">
        <is>
          <t>NOOS</t>
        </is>
      </c>
      <c r="V134" t="n">
        <v>152.53</v>
      </c>
      <c r="W134" t="n">
        <v>52.42</v>
      </c>
      <c r="X134" t="n">
        <v>0.3437</v>
      </c>
    </row>
    <row r="135">
      <c r="A135" t="inlineStr">
        <is>
          <t>36742833</t>
        </is>
      </c>
      <c r="B135" t="inlineStr">
        <is>
          <t>PRODUCTO 7D7B5D</t>
        </is>
      </c>
      <c r="C135" t="inlineStr">
        <is>
          <t>NAUTICA</t>
        </is>
      </c>
      <c r="D135" t="inlineStr">
        <is>
          <t>POLOS M/C</t>
        </is>
      </c>
      <c r="E135" t="inlineStr">
        <is>
          <t>MARCAS CASUAL INTERNACIONAL HOMBRE</t>
        </is>
      </c>
      <c r="F135" t="n">
        <v>33</v>
      </c>
      <c r="G135" t="n">
        <v>299.99</v>
      </c>
      <c r="H135" t="n">
        <v>169.99</v>
      </c>
      <c r="I135" t="n">
        <v>93.2</v>
      </c>
      <c r="J135" t="inlineStr">
        <is>
          <t>OI</t>
        </is>
      </c>
      <c r="K135" t="inlineStr">
        <is>
          <t>RANGO 6_9</t>
        </is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R135">
        <f>IF(G936&gt;0,1-H936/G936,"")</f>
        <v/>
      </c>
      <c r="S135">
        <f>IF(G936&gt;0,(G936/1.18-I936)/(G936/1.18),"")</f>
        <v/>
      </c>
      <c r="T135">
        <f>IF(H936&gt;0,(H936/1.18-I936)/(H936/1.18),"")</f>
        <v/>
      </c>
      <c r="U135" t="inlineStr">
        <is>
          <t>NOOS</t>
        </is>
      </c>
      <c r="V135" t="n">
        <v>338.96</v>
      </c>
      <c r="W135" t="n">
        <v>152.56</v>
      </c>
      <c r="X135" t="n">
        <v>0.4501</v>
      </c>
    </row>
    <row r="136">
      <c r="A136" t="inlineStr">
        <is>
          <t>36755142</t>
        </is>
      </c>
      <c r="B136" t="inlineStr">
        <is>
          <t>PRODUCTO ACE89C</t>
        </is>
      </c>
      <c r="C136" t="inlineStr">
        <is>
          <t>PIERRE CARDIN</t>
        </is>
      </c>
      <c r="D136" t="inlineStr">
        <is>
          <t>SHORTS</t>
        </is>
      </c>
      <c r="E136" t="inlineStr">
        <is>
          <t>MARCAS CASUAL NACIONAL HOMBRE</t>
        </is>
      </c>
      <c r="F136" t="n">
        <v>8</v>
      </c>
      <c r="G136" t="n">
        <v>249</v>
      </c>
      <c r="H136" t="n">
        <v>249</v>
      </c>
      <c r="I136" t="n">
        <v>137.16</v>
      </c>
      <c r="J136" t="inlineStr">
        <is>
          <t>OI</t>
        </is>
      </c>
      <c r="K136" t="inlineStr">
        <is>
          <t>RANGO 0_3</t>
        </is>
      </c>
      <c r="L136" t="n">
        <v>0</v>
      </c>
      <c r="M136" t="n">
        <v>1</v>
      </c>
      <c r="N136" t="n">
        <v>3</v>
      </c>
      <c r="O136" t="n">
        <v>1</v>
      </c>
      <c r="P136" t="n">
        <v>3</v>
      </c>
      <c r="R136">
        <f>IF(G951&gt;0,1-H951/G951,"")</f>
        <v/>
      </c>
      <c r="S136">
        <f>IF(G951&gt;0,(G951/1.18-I951)/(G951/1.18),"")</f>
        <v/>
      </c>
      <c r="T136">
        <f>IF(H951&gt;0,(H951/1.18-I951)/(H951/1.18),"")</f>
        <v/>
      </c>
      <c r="U136" t="inlineStr">
        <is>
          <t>NOOS</t>
        </is>
      </c>
      <c r="V136" t="n">
        <v>801.83</v>
      </c>
      <c r="W136" t="n">
        <v>280.65</v>
      </c>
      <c r="X136" t="n">
        <v>0.35</v>
      </c>
    </row>
    <row r="137">
      <c r="A137" t="inlineStr">
        <is>
          <t>36755218</t>
        </is>
      </c>
      <c r="B137" t="inlineStr">
        <is>
          <t>PRODUCTO BF0DD2</t>
        </is>
      </c>
      <c r="C137" t="inlineStr">
        <is>
          <t>PIERRE CARDIN</t>
        </is>
      </c>
      <c r="D137" t="inlineStr">
        <is>
          <t>PANTALONES</t>
        </is>
      </c>
      <c r="E137" t="inlineStr">
        <is>
          <t>MARCAS CASUAL NACIONAL HOMBRE</t>
        </is>
      </c>
      <c r="F137" t="n">
        <v>38</v>
      </c>
      <c r="G137" t="n">
        <v>279</v>
      </c>
      <c r="H137" t="n">
        <v>139.5</v>
      </c>
      <c r="I137" t="n">
        <v>153.69</v>
      </c>
      <c r="J137" t="inlineStr">
        <is>
          <t>TT</t>
        </is>
      </c>
      <c r="K137" t="inlineStr">
        <is>
          <t>RANGO 6_9</t>
        </is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R137">
        <f>IF(G954&gt;0,1-H954/G954,"")</f>
        <v/>
      </c>
      <c r="S137">
        <f>IF(G954&gt;0,(G954/1.18-I954)/(G954/1.18),"")</f>
        <v/>
      </c>
      <c r="T137">
        <f>IF(H954&gt;0,(H954/1.18-I954)/(H954/1.18),"")</f>
        <v/>
      </c>
      <c r="U137" t="inlineStr">
        <is>
          <t>NOOS</t>
        </is>
      </c>
      <c r="V137" t="n">
        <v>354.66</v>
      </c>
      <c r="W137" t="n">
        <v>124.11</v>
      </c>
      <c r="X137" t="n">
        <v>0.3499</v>
      </c>
    </row>
    <row r="138">
      <c r="A138" t="inlineStr">
        <is>
          <t>36780298</t>
        </is>
      </c>
      <c r="B138" t="inlineStr">
        <is>
          <t>PRODUCTO D45071</t>
        </is>
      </c>
      <c r="C138" t="inlineStr">
        <is>
          <t>PIERRE CARDIN</t>
        </is>
      </c>
      <c r="D138" t="inlineStr">
        <is>
          <t>CAMISAS M/C</t>
        </is>
      </c>
      <c r="E138" t="inlineStr">
        <is>
          <t>MARCAS CASUAL NACIONAL HOMBRE</t>
        </is>
      </c>
      <c r="F138" t="n">
        <v>8</v>
      </c>
      <c r="G138" t="n">
        <v>189</v>
      </c>
      <c r="H138" t="n">
        <v>189</v>
      </c>
      <c r="I138" t="n">
        <v>104.11</v>
      </c>
      <c r="J138" t="inlineStr">
        <is>
          <t>TT</t>
        </is>
      </c>
      <c r="K138" t="inlineStr">
        <is>
          <t>RANGO 0_3</t>
        </is>
      </c>
      <c r="L138" t="n">
        <v>1</v>
      </c>
      <c r="M138" t="n">
        <v>4</v>
      </c>
      <c r="N138" t="n">
        <v>1</v>
      </c>
      <c r="O138" t="n">
        <v>2</v>
      </c>
      <c r="P138" t="n">
        <v>4</v>
      </c>
      <c r="R138">
        <f>IF(G957&gt;0,1-H957/G957,"")</f>
        <v/>
      </c>
      <c r="S138">
        <f>IF(G957&gt;0,(G957/1.18-I957)/(G957/1.18),"")</f>
        <v/>
      </c>
      <c r="T138">
        <f>IF(H957&gt;0,(H957/1.18-I957)/(H957/1.18),"")</f>
        <v/>
      </c>
      <c r="U138" t="inlineStr">
        <is>
          <t>NOOS</t>
        </is>
      </c>
      <c r="V138" t="n">
        <v>899.98</v>
      </c>
      <c r="W138" t="n">
        <v>314.97</v>
      </c>
      <c r="X138" t="n">
        <v>0.35</v>
      </c>
    </row>
    <row r="139">
      <c r="A139" t="inlineStr">
        <is>
          <t>36793346</t>
        </is>
      </c>
      <c r="B139" t="inlineStr">
        <is>
          <t>PRODUCTO 27F5D1</t>
        </is>
      </c>
      <c r="C139" t="inlineStr">
        <is>
          <t>JOHN HOLDEN</t>
        </is>
      </c>
      <c r="D139" t="inlineStr">
        <is>
          <t>CAMISAS M/L</t>
        </is>
      </c>
      <c r="E139" t="inlineStr">
        <is>
          <t>MARCAS CASUAL NACIONAL HOMBRE</t>
        </is>
      </c>
      <c r="F139" t="n">
        <v>33</v>
      </c>
      <c r="G139" t="n">
        <v>249.9</v>
      </c>
      <c r="H139" t="n">
        <v>149.94</v>
      </c>
      <c r="I139" t="n">
        <v>117.66</v>
      </c>
      <c r="J139" t="inlineStr">
        <is>
          <t>OI</t>
        </is>
      </c>
      <c r="K139" t="inlineStr">
        <is>
          <t>RANGO 6_9</t>
        </is>
      </c>
      <c r="L139" t="n">
        <v>5</v>
      </c>
      <c r="M139" t="n">
        <v>1</v>
      </c>
      <c r="N139" t="n">
        <v>3</v>
      </c>
      <c r="O139" t="n">
        <v>2</v>
      </c>
      <c r="P139" t="n">
        <v>3</v>
      </c>
      <c r="R139">
        <f>IF(G969&gt;0,1-H969/G969,"")</f>
        <v/>
      </c>
      <c r="S139">
        <f>IF(G969&gt;0,(G969/1.18-I969)/(G969/1.18),"")</f>
        <v/>
      </c>
      <c r="T139">
        <f>IF(H969&gt;0,(H969/1.18-I969)/(H969/1.18),"")</f>
        <v/>
      </c>
      <c r="U139" t="inlineStr">
        <is>
          <t>NOOS</t>
        </is>
      </c>
      <c r="V139" t="n">
        <v>1119.6</v>
      </c>
      <c r="W139" t="n">
        <v>60.66</v>
      </c>
      <c r="X139" t="n">
        <v>0.0542</v>
      </c>
    </row>
    <row r="140">
      <c r="A140" t="inlineStr">
        <is>
          <t>36798522</t>
        </is>
      </c>
      <c r="B140" t="inlineStr">
        <is>
          <t>PRODUCTO DD7A44</t>
        </is>
      </c>
      <c r="C140" t="inlineStr">
        <is>
          <t>MARQUIS</t>
        </is>
      </c>
      <c r="D140" t="inlineStr">
        <is>
          <t>CASACAS</t>
        </is>
      </c>
      <c r="E140" t="inlineStr">
        <is>
          <t>MARQUIS HOMBRE</t>
        </is>
      </c>
      <c r="F140" t="n">
        <v>21</v>
      </c>
      <c r="G140" t="n">
        <v>159.99</v>
      </c>
      <c r="H140" t="n">
        <v>49.99</v>
      </c>
      <c r="I140" t="n">
        <v>34.16</v>
      </c>
      <c r="J140" t="inlineStr">
        <is>
          <t>OI</t>
        </is>
      </c>
      <c r="K140" t="inlineStr">
        <is>
          <t>RANGO 3_6</t>
        </is>
      </c>
      <c r="L140" t="n">
        <v>33</v>
      </c>
      <c r="M140" t="n">
        <v>49</v>
      </c>
      <c r="N140" t="n">
        <v>58</v>
      </c>
      <c r="O140" t="n">
        <v>68</v>
      </c>
      <c r="P140" t="n">
        <v>52</v>
      </c>
      <c r="R140">
        <f>IF(G984&gt;0,1-H984/G984,"")</f>
        <v/>
      </c>
      <c r="S140">
        <f>IF(G984&gt;0,(G984/1.18-I984)/(G984/1.18),"")</f>
        <v/>
      </c>
      <c r="T140">
        <f>IF(H984&gt;0,(H984/1.18-I984)/(H984/1.18),"")</f>
        <v/>
      </c>
      <c r="U140" t="inlineStr">
        <is>
          <t>NOOS</t>
        </is>
      </c>
      <c r="V140" t="n">
        <v>9925.9</v>
      </c>
      <c r="W140" t="n">
        <v>2171.51</v>
      </c>
      <c r="X140" t="n">
        <v>0.2188</v>
      </c>
    </row>
    <row r="141">
      <c r="A141" t="inlineStr">
        <is>
          <t>36812167</t>
        </is>
      </c>
      <c r="B141" t="inlineStr">
        <is>
          <t>PRODUCTO CEBBBA</t>
        </is>
      </c>
      <c r="C141" t="inlineStr">
        <is>
          <t>PIERRE CARDIN</t>
        </is>
      </c>
      <c r="D141" t="inlineStr">
        <is>
          <t>CAMISAS M/C</t>
        </is>
      </c>
      <c r="E141" t="inlineStr">
        <is>
          <t>MARCAS CASUAL NACIONAL HOMBRE</t>
        </is>
      </c>
      <c r="F141" t="n">
        <v>8</v>
      </c>
      <c r="G141" t="n">
        <v>229</v>
      </c>
      <c r="H141" t="n">
        <v>229</v>
      </c>
      <c r="I141" t="n">
        <v>126.14</v>
      </c>
      <c r="J141" t="inlineStr">
        <is>
          <t>OI</t>
        </is>
      </c>
      <c r="K141" t="inlineStr">
        <is>
          <t>RANGO 0_3</t>
        </is>
      </c>
      <c r="L141" t="n">
        <v>0</v>
      </c>
      <c r="M141" t="n">
        <v>1</v>
      </c>
      <c r="N141" t="n">
        <v>0</v>
      </c>
      <c r="O141" t="n">
        <v>3</v>
      </c>
      <c r="P141" t="n">
        <v>0</v>
      </c>
      <c r="R141">
        <f>IF(G999&gt;0,1-H999/G999,"")</f>
        <v/>
      </c>
      <c r="S141">
        <f>IF(G999&gt;0,(G999/1.18-I999)/(G999/1.18),"")</f>
        <v/>
      </c>
      <c r="T141">
        <f>IF(H999&gt;0,(H999/1.18-I999)/(H999/1.18),"")</f>
        <v/>
      </c>
      <c r="U141" t="inlineStr">
        <is>
          <t>NOOS</t>
        </is>
      </c>
      <c r="V141" t="n">
        <v>348.73</v>
      </c>
      <c r="W141" t="n">
        <v>122.06</v>
      </c>
      <c r="X141" t="n">
        <v>0.35</v>
      </c>
    </row>
    <row r="142">
      <c r="A142" t="inlineStr">
        <is>
          <t>36812243</t>
        </is>
      </c>
      <c r="B142" t="inlineStr">
        <is>
          <t>PRODUCTO BF4F21</t>
        </is>
      </c>
      <c r="C142" t="inlineStr">
        <is>
          <t>PIERRE CARDIN</t>
        </is>
      </c>
      <c r="D142" t="inlineStr">
        <is>
          <t>CAMISAS M/C</t>
        </is>
      </c>
      <c r="E142" t="inlineStr">
        <is>
          <t>MARCAS CASUAL NACIONAL HOMBRE</t>
        </is>
      </c>
      <c r="F142" t="n">
        <v>8</v>
      </c>
      <c r="G142" t="n">
        <v>229</v>
      </c>
      <c r="H142" t="n">
        <v>229</v>
      </c>
      <c r="I142" t="n">
        <v>126.14</v>
      </c>
      <c r="J142" t="inlineStr">
        <is>
          <t>OI</t>
        </is>
      </c>
      <c r="K142" t="inlineStr">
        <is>
          <t>RANGO 0_3</t>
        </is>
      </c>
      <c r="L142" t="n">
        <v>0</v>
      </c>
      <c r="M142" t="n">
        <v>0</v>
      </c>
      <c r="N142" t="n">
        <v>1</v>
      </c>
      <c r="O142" t="n">
        <v>2</v>
      </c>
      <c r="P142" t="n">
        <v>0</v>
      </c>
      <c r="R142">
        <f>IF(G1001&gt;0,1-H1001/G1001,"")</f>
        <v/>
      </c>
      <c r="S142">
        <f>IF(G1001&gt;0,(G1001/1.18-I1001)/(G1001/1.18),"")</f>
        <v/>
      </c>
      <c r="T142">
        <f>IF(H1001&gt;0,(H1001/1.18-I1001)/(H1001/1.18),"")</f>
        <v/>
      </c>
      <c r="U142" t="inlineStr">
        <is>
          <t>NOOS</t>
        </is>
      </c>
      <c r="V142" t="n">
        <v>264.83</v>
      </c>
      <c r="W142" t="n">
        <v>92.69</v>
      </c>
      <c r="X142" t="n">
        <v>0.35</v>
      </c>
    </row>
    <row r="143">
      <c r="A143" t="inlineStr">
        <is>
          <t>36812595</t>
        </is>
      </c>
      <c r="B143" t="inlineStr">
        <is>
          <t>PRODUCTO D2A5E4</t>
        </is>
      </c>
      <c r="C143" t="inlineStr">
        <is>
          <t>LACOSTE</t>
        </is>
      </c>
      <c r="D143" t="inlineStr">
        <is>
          <t>CAMISAS M/L</t>
        </is>
      </c>
      <c r="E143" t="inlineStr">
        <is>
          <t>MARCAS CASUAL NACIONAL HOMBRE</t>
        </is>
      </c>
      <c r="F143" t="n">
        <v>37</v>
      </c>
      <c r="G143" t="n">
        <v>479.99</v>
      </c>
      <c r="H143" t="n">
        <v>191.99</v>
      </c>
      <c r="I143" t="n">
        <v>122</v>
      </c>
      <c r="J143" t="inlineStr">
        <is>
          <t>OI</t>
        </is>
      </c>
      <c r="K143" t="inlineStr">
        <is>
          <t>RANGO 6_9</t>
        </is>
      </c>
      <c r="L143" t="n">
        <v>0</v>
      </c>
      <c r="M143" t="n">
        <v>4</v>
      </c>
      <c r="N143" t="n">
        <v>1</v>
      </c>
      <c r="O143" t="n">
        <v>0</v>
      </c>
      <c r="P143" t="n">
        <v>0</v>
      </c>
      <c r="R143">
        <f>IF(G1005&gt;0,1-H1005/G1005,"")</f>
        <v/>
      </c>
      <c r="S143">
        <f>IF(G1005&gt;0,(G1005/1.18-I1005)/(G1005/1.18),"")</f>
        <v/>
      </c>
      <c r="T143">
        <f>IF(H1005&gt;0,(H1005/1.18-I1005)/(H1005/1.18),"")</f>
        <v/>
      </c>
      <c r="U143" t="inlineStr">
        <is>
          <t>NOOS</t>
        </is>
      </c>
      <c r="V143" t="n">
        <v>797.6900000000001</v>
      </c>
      <c r="W143" t="n">
        <v>187.69</v>
      </c>
      <c r="X143" t="n">
        <v>0.2353</v>
      </c>
    </row>
    <row r="144">
      <c r="A144" t="inlineStr">
        <is>
          <t>36812621</t>
        </is>
      </c>
      <c r="B144" t="inlineStr">
        <is>
          <t>PRODUCTO 402767</t>
        </is>
      </c>
      <c r="C144" t="inlineStr">
        <is>
          <t>LACOSTE</t>
        </is>
      </c>
      <c r="D144" t="inlineStr">
        <is>
          <t>CAMISAS M/L</t>
        </is>
      </c>
      <c r="E144" t="inlineStr">
        <is>
          <t>MARCAS CASUAL NACIONAL HOMBRE</t>
        </is>
      </c>
      <c r="F144" t="n">
        <v>25</v>
      </c>
      <c r="G144" t="n">
        <v>479.99</v>
      </c>
      <c r="H144" t="n">
        <v>240</v>
      </c>
      <c r="I144" t="n">
        <v>122</v>
      </c>
      <c r="J144" t="inlineStr">
        <is>
          <t>OI</t>
        </is>
      </c>
      <c r="K144" t="inlineStr">
        <is>
          <t>RANGO 3_6</t>
        </is>
      </c>
      <c r="L144" t="n">
        <v>0</v>
      </c>
      <c r="M144" t="n">
        <v>3</v>
      </c>
      <c r="N144" t="n">
        <v>0</v>
      </c>
      <c r="O144" t="n">
        <v>3</v>
      </c>
      <c r="P144" t="n">
        <v>3</v>
      </c>
      <c r="R144">
        <f>IF(G1006&gt;0,1-H1006/G1006,"")</f>
        <v/>
      </c>
      <c r="S144">
        <f>IF(G1006&gt;0,(G1006/1.18-I1006)/(G1006/1.18),"")</f>
        <v/>
      </c>
      <c r="T144">
        <f>IF(H1006&gt;0,(H1006/1.18-I1006)/(H1006/1.18),"")</f>
        <v/>
      </c>
      <c r="U144" t="inlineStr">
        <is>
          <t>NOOS</t>
        </is>
      </c>
      <c r="V144" t="n">
        <v>1868.61</v>
      </c>
      <c r="W144" t="n">
        <v>770.61</v>
      </c>
      <c r="X144" t="n">
        <v>0.4124</v>
      </c>
    </row>
    <row r="145">
      <c r="A145" t="inlineStr">
        <is>
          <t>36813801</t>
        </is>
      </c>
      <c r="B145" t="inlineStr">
        <is>
          <t>PRODUCTO 988B3E</t>
        </is>
      </c>
      <c r="C145" t="inlineStr">
        <is>
          <t>PIERRE CARDIN</t>
        </is>
      </c>
      <c r="D145" t="inlineStr">
        <is>
          <t>CAMISAS M/C</t>
        </is>
      </c>
      <c r="E145" t="inlineStr">
        <is>
          <t>MARCAS CASUAL NACIONAL HOMBRE</t>
        </is>
      </c>
      <c r="F145" t="n">
        <v>8</v>
      </c>
      <c r="G145" t="n">
        <v>229</v>
      </c>
      <c r="H145" t="n">
        <v>229</v>
      </c>
      <c r="I145" t="n">
        <v>126.14</v>
      </c>
      <c r="J145" t="inlineStr">
        <is>
          <t>OI</t>
        </is>
      </c>
      <c r="K145" t="inlineStr">
        <is>
          <t>RANGO 0_3</t>
        </is>
      </c>
      <c r="L145" t="n">
        <v>0</v>
      </c>
      <c r="M145" t="n">
        <v>1</v>
      </c>
      <c r="N145" t="n">
        <v>0</v>
      </c>
      <c r="O145" t="n">
        <v>2</v>
      </c>
      <c r="P145" t="n">
        <v>0</v>
      </c>
      <c r="R145">
        <f>IF(G1019&gt;0,1-H1019/G1019,"")</f>
        <v/>
      </c>
      <c r="S145">
        <f>IF(G1019&gt;0,(G1019/1.18-I1019)/(G1019/1.18),"")</f>
        <v/>
      </c>
      <c r="T145">
        <f>IF(H1019&gt;0,(H1019/1.18-I1019)/(H1019/1.18),"")</f>
        <v/>
      </c>
      <c r="U145" t="inlineStr">
        <is>
          <t>NOOS</t>
        </is>
      </c>
      <c r="V145" t="n">
        <v>251.69</v>
      </c>
      <c r="W145" t="n">
        <v>88.09999999999999</v>
      </c>
      <c r="X145" t="n">
        <v>0.35</v>
      </c>
    </row>
    <row r="146">
      <c r="A146" t="inlineStr">
        <is>
          <t>36813956</t>
        </is>
      </c>
      <c r="B146" t="inlineStr">
        <is>
          <t>PRODUCTO 316189</t>
        </is>
      </c>
      <c r="C146" t="inlineStr">
        <is>
          <t>PIERRE CARDIN</t>
        </is>
      </c>
      <c r="D146" t="inlineStr">
        <is>
          <t>CAMISAS M/C</t>
        </is>
      </c>
      <c r="E146" t="inlineStr">
        <is>
          <t>MARCAS CASUAL NACIONAL HOMBRE</t>
        </is>
      </c>
      <c r="F146" t="n">
        <v>8</v>
      </c>
      <c r="G146" t="n">
        <v>229</v>
      </c>
      <c r="H146" t="n">
        <v>229</v>
      </c>
      <c r="I146" t="n">
        <v>126.14</v>
      </c>
      <c r="J146" t="inlineStr">
        <is>
          <t>OI</t>
        </is>
      </c>
      <c r="K146" t="inlineStr">
        <is>
          <t>RANGO 0_3</t>
        </is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R146">
        <f>IF(G1029&gt;0,1-H1029/G1029,"")</f>
        <v/>
      </c>
      <c r="S146">
        <f>IF(G1029&gt;0,(G1029/1.18-I1029)/(G1029/1.18),"")</f>
        <v/>
      </c>
      <c r="T146">
        <f>IF(H1029&gt;0,(H1029/1.18-I1029)/(H1029/1.18),"")</f>
        <v/>
      </c>
      <c r="U146" t="inlineStr">
        <is>
          <t>NOOS</t>
        </is>
      </c>
      <c r="V146" t="n">
        <v>167.8</v>
      </c>
      <c r="W146" t="n">
        <v>58.74</v>
      </c>
      <c r="X146" t="n">
        <v>0.3501</v>
      </c>
    </row>
    <row r="147">
      <c r="A147" t="inlineStr">
        <is>
          <t>36813969</t>
        </is>
      </c>
      <c r="B147" t="inlineStr">
        <is>
          <t>PRODUCTO BD5317</t>
        </is>
      </c>
      <c r="C147" t="inlineStr">
        <is>
          <t>PIERRE CARDIN</t>
        </is>
      </c>
      <c r="D147" t="inlineStr">
        <is>
          <t>CAMISAS M/C</t>
        </is>
      </c>
      <c r="E147" t="inlineStr">
        <is>
          <t>MARCAS CASUAL NACIONAL HOMBRE</t>
        </is>
      </c>
      <c r="F147" t="n">
        <v>11</v>
      </c>
      <c r="G147" t="n">
        <v>229</v>
      </c>
      <c r="H147" t="n">
        <v>229</v>
      </c>
      <c r="I147" t="n">
        <v>126.14</v>
      </c>
      <c r="J147" t="inlineStr">
        <is>
          <t>OI</t>
        </is>
      </c>
      <c r="K147" t="inlineStr">
        <is>
          <t>RANGO 0_3</t>
        </is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R147">
        <f>IF(G1030&gt;0,1-H1030/G1030,"")</f>
        <v/>
      </c>
      <c r="S147">
        <f>IF(G1030&gt;0,(G1030/1.18-I1030)/(G1030/1.18),"")</f>
        <v/>
      </c>
      <c r="T147">
        <f>IF(H1030&gt;0,(H1030/1.18-I1030)/(H1030/1.18),"")</f>
        <v/>
      </c>
      <c r="U147" t="inlineStr">
        <is>
          <t>NOOS</t>
        </is>
      </c>
      <c r="V147" t="n">
        <v>83.90000000000001</v>
      </c>
      <c r="W147" t="n">
        <v>29.37</v>
      </c>
      <c r="X147" t="n">
        <v>0.3501</v>
      </c>
    </row>
    <row r="148">
      <c r="A148" t="inlineStr">
        <is>
          <t>36814002</t>
        </is>
      </c>
      <c r="B148" t="inlineStr">
        <is>
          <t>PRODUCTO A2C698</t>
        </is>
      </c>
      <c r="C148" t="inlineStr">
        <is>
          <t>PIERRE CARDIN</t>
        </is>
      </c>
      <c r="D148" t="inlineStr">
        <is>
          <t>CAMISAS M/C</t>
        </is>
      </c>
      <c r="E148" t="inlineStr">
        <is>
          <t>MARCAS CASUAL NACIONAL HOMBRE</t>
        </is>
      </c>
      <c r="F148" t="n">
        <v>8</v>
      </c>
      <c r="G148" t="n">
        <v>229</v>
      </c>
      <c r="H148" t="n">
        <v>229</v>
      </c>
      <c r="I148" t="n">
        <v>126.14</v>
      </c>
      <c r="J148" t="inlineStr">
        <is>
          <t>OI</t>
        </is>
      </c>
      <c r="K148" t="inlineStr">
        <is>
          <t>RANGO 0_3</t>
        </is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R148">
        <f>IF(G1032&gt;0,1-H1032/G1032,"")</f>
        <v/>
      </c>
      <c r="S148">
        <f>IF(G1032&gt;0,(G1032/1.18-I1032)/(G1032/1.18),"")</f>
        <v/>
      </c>
      <c r="T148">
        <f>IF(H1032&gt;0,(H1032/1.18-I1032)/(H1032/1.18),"")</f>
        <v/>
      </c>
      <c r="U148" t="inlineStr">
        <is>
          <t>NOOS</t>
        </is>
      </c>
      <c r="V148" t="n">
        <v>234.92</v>
      </c>
      <c r="W148" t="n">
        <v>82.23</v>
      </c>
      <c r="X148" t="n">
        <v>0.35</v>
      </c>
    </row>
    <row r="149">
      <c r="A149" t="inlineStr">
        <is>
          <t>36815457</t>
        </is>
      </c>
      <c r="B149" t="inlineStr">
        <is>
          <t>PRODUCTO 54483C</t>
        </is>
      </c>
      <c r="C149" t="inlineStr">
        <is>
          <t>LACOSTE</t>
        </is>
      </c>
      <c r="D149" t="inlineStr">
        <is>
          <t>SHORTS</t>
        </is>
      </c>
      <c r="E149" t="inlineStr">
        <is>
          <t>MARCAS CASUAL NACIONAL HOMBRE</t>
        </is>
      </c>
      <c r="F149" t="n">
        <v>37</v>
      </c>
      <c r="G149" t="n">
        <v>379.99</v>
      </c>
      <c r="H149" t="n">
        <v>151.99</v>
      </c>
      <c r="I149" t="n">
        <v>112</v>
      </c>
      <c r="J149" t="inlineStr">
        <is>
          <t>OI</t>
        </is>
      </c>
      <c r="K149" t="inlineStr">
        <is>
          <t>RANGO 6_9</t>
        </is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R149">
        <f>IF(G1037&gt;0,1-H1037/G1037,"")</f>
        <v/>
      </c>
      <c r="S149">
        <f>IF(G1037&gt;0,(G1037/1.18-I1037)/(G1037/1.18),"")</f>
        <v/>
      </c>
      <c r="T149">
        <f>IF(H1037&gt;0,(H1037/1.18-I1037)/(H1037/1.18),"")</f>
        <v/>
      </c>
      <c r="U149" t="inlineStr">
        <is>
          <t>NOOS</t>
        </is>
      </c>
      <c r="V149" t="n">
        <v>161.01</v>
      </c>
      <c r="W149" t="n">
        <v>49.01</v>
      </c>
      <c r="X149" t="n">
        <v>0.3044</v>
      </c>
    </row>
    <row r="150">
      <c r="A150" t="inlineStr">
        <is>
          <t>36815567</t>
        </is>
      </c>
      <c r="B150" t="inlineStr">
        <is>
          <t>PRODUCTO 609536</t>
        </is>
      </c>
      <c r="C150" t="inlineStr">
        <is>
          <t>LACOSTE</t>
        </is>
      </c>
      <c r="D150" t="inlineStr">
        <is>
          <t>PANTALONES</t>
        </is>
      </c>
      <c r="E150" t="inlineStr">
        <is>
          <t>MARCAS CASUAL NACIONAL HOMBRE</t>
        </is>
      </c>
      <c r="F150" t="n">
        <v>37</v>
      </c>
      <c r="G150" t="n">
        <v>559.99</v>
      </c>
      <c r="H150" t="n">
        <v>223.99</v>
      </c>
      <c r="I150" t="n">
        <v>142</v>
      </c>
      <c r="J150" t="inlineStr">
        <is>
          <t>OI</t>
        </is>
      </c>
      <c r="K150" t="inlineStr">
        <is>
          <t>RANGO 6_9</t>
        </is>
      </c>
      <c r="L150" t="n">
        <v>0</v>
      </c>
      <c r="M150" t="n">
        <v>1</v>
      </c>
      <c r="N150" t="n">
        <v>0</v>
      </c>
      <c r="O150" t="n">
        <v>1</v>
      </c>
      <c r="P150" t="n">
        <v>3</v>
      </c>
      <c r="R150">
        <f>IF(G1045&gt;0,1-H1045/G1045,"")</f>
        <v/>
      </c>
      <c r="S150">
        <f>IF(G1045&gt;0,(G1045/1.18-I1045)/(G1045/1.18),"")</f>
        <v/>
      </c>
      <c r="T150">
        <f>IF(H1045&gt;0,(H1045/1.18-I1045)/(H1045/1.18),"")</f>
        <v/>
      </c>
      <c r="U150" t="inlineStr">
        <is>
          <t>NOOS</t>
        </is>
      </c>
      <c r="V150" t="n">
        <v>1115.21</v>
      </c>
      <c r="W150" t="n">
        <v>405.21</v>
      </c>
      <c r="X150" t="n">
        <v>0.3633</v>
      </c>
    </row>
    <row r="151">
      <c r="A151" t="inlineStr">
        <is>
          <t>36815649</t>
        </is>
      </c>
      <c r="B151" t="inlineStr">
        <is>
          <t>PRODUCTO C23D81</t>
        </is>
      </c>
      <c r="C151" t="inlineStr">
        <is>
          <t>LACOSTE</t>
        </is>
      </c>
      <c r="D151" t="inlineStr">
        <is>
          <t>POLOS M/C</t>
        </is>
      </c>
      <c r="E151" t="inlineStr">
        <is>
          <t>MARCAS CASUAL NACIONAL HOMBRE</t>
        </is>
      </c>
      <c r="F151" t="n">
        <v>37</v>
      </c>
      <c r="G151" t="n">
        <v>299.99</v>
      </c>
      <c r="H151" t="n">
        <v>119.99</v>
      </c>
      <c r="I151" t="n">
        <v>89</v>
      </c>
      <c r="J151" t="inlineStr">
        <is>
          <t>OI</t>
        </is>
      </c>
      <c r="K151" t="inlineStr">
        <is>
          <t>RANGO 6_9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R151">
        <f>IF(G1049&gt;0,1-H1049/G1049,"")</f>
        <v/>
      </c>
      <c r="S151">
        <f>IF(G1049&gt;0,(G1049/1.18-I1049)/(G1049/1.18),"")</f>
        <v/>
      </c>
      <c r="T151">
        <f>IF(H1049&gt;0,(H1049/1.18-I1049)/(H1049/1.18),"")</f>
        <v/>
      </c>
      <c r="U151" t="inlineStr">
        <is>
          <t>NOOS</t>
        </is>
      </c>
      <c r="V151" t="n">
        <v>0</v>
      </c>
      <c r="W151" t="n">
        <v>0</v>
      </c>
    </row>
    <row r="152">
      <c r="A152" t="inlineStr">
        <is>
          <t>36826232</t>
        </is>
      </c>
      <c r="B152" t="inlineStr">
        <is>
          <t>PRODUCTO 78AC29</t>
        </is>
      </c>
      <c r="C152" t="inlineStr">
        <is>
          <t>JOHN HOLDEN</t>
        </is>
      </c>
      <c r="D152" t="inlineStr">
        <is>
          <t>POLOS M/C</t>
        </is>
      </c>
      <c r="E152" t="inlineStr">
        <is>
          <t>MARCAS CASUAL NACIONAL HOMBRE</t>
        </is>
      </c>
      <c r="F152" t="n">
        <v>22</v>
      </c>
      <c r="G152" t="n">
        <v>119.9</v>
      </c>
      <c r="H152" t="n">
        <v>59.95</v>
      </c>
      <c r="I152" t="n">
        <v>48.22</v>
      </c>
      <c r="J152" t="inlineStr">
        <is>
          <t>OI</t>
        </is>
      </c>
      <c r="K152" t="inlineStr">
        <is>
          <t>RANGO 3_6</t>
        </is>
      </c>
      <c r="L152" t="n">
        <v>9</v>
      </c>
      <c r="M152" t="n">
        <v>2</v>
      </c>
      <c r="N152" t="n">
        <v>3</v>
      </c>
      <c r="O152" t="n">
        <v>5</v>
      </c>
      <c r="P152" t="n">
        <v>1</v>
      </c>
      <c r="R152">
        <f>IF(G1054&gt;0,1-H1054/G1054,"")</f>
        <v/>
      </c>
      <c r="S152">
        <f>IF(G1054&gt;0,(G1054/1.18-I1054)/(G1054/1.18),"")</f>
        <v/>
      </c>
      <c r="T152">
        <f>IF(H1054&gt;0,(H1054/1.18-I1054)/(H1054/1.18),"")</f>
        <v/>
      </c>
      <c r="U152" t="inlineStr">
        <is>
          <t>NOOS</t>
        </is>
      </c>
      <c r="V152" t="n">
        <v>555.78</v>
      </c>
      <c r="W152" t="n">
        <v>23.95</v>
      </c>
      <c r="X152" t="n">
        <v>0.0431</v>
      </c>
    </row>
    <row r="153">
      <c r="A153" t="inlineStr">
        <is>
          <t>36826252</t>
        </is>
      </c>
      <c r="B153" t="inlineStr">
        <is>
          <t>PRODUCTO 886F74</t>
        </is>
      </c>
      <c r="C153" t="inlineStr">
        <is>
          <t>JOHN HOLDEN</t>
        </is>
      </c>
      <c r="D153" t="inlineStr">
        <is>
          <t>POLOS M/C</t>
        </is>
      </c>
      <c r="E153" t="inlineStr">
        <is>
          <t>MARCAS CASUAL NACIONAL HOMBRE</t>
        </is>
      </c>
      <c r="F153" t="n">
        <v>0</v>
      </c>
      <c r="G153" t="n">
        <v>119.9</v>
      </c>
      <c r="H153" t="n">
        <v>39.9</v>
      </c>
      <c r="I153" t="n">
        <v>56.45</v>
      </c>
      <c r="J153" t="inlineStr">
        <is>
          <t>OI</t>
        </is>
      </c>
      <c r="K153" t="inlineStr">
        <is>
          <t>Sin Rango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R153">
        <f>IF(G1057&gt;0,1-H1057/G1057,"")</f>
        <v/>
      </c>
      <c r="S153">
        <f>IF(G1057&gt;0,(G1057/1.18-I1057)/(G1057/1.18),"")</f>
        <v/>
      </c>
      <c r="T153">
        <f>IF(H1057&gt;0,(H1057/1.18-I1057)/(H1057/1.18),"")</f>
        <v/>
      </c>
      <c r="U153" t="inlineStr">
        <is>
          <t>NOOS</t>
        </is>
      </c>
      <c r="V153" t="n">
        <v>0</v>
      </c>
      <c r="W153" t="n">
        <v>0</v>
      </c>
    </row>
    <row r="154">
      <c r="A154" t="inlineStr">
        <is>
          <t>36831587</t>
        </is>
      </c>
      <c r="B154" t="inlineStr">
        <is>
          <t>PRODUCTO 253410</t>
        </is>
      </c>
      <c r="C154" t="inlineStr">
        <is>
          <t>SILBON</t>
        </is>
      </c>
      <c r="D154" t="inlineStr">
        <is>
          <t>POLOS M/C</t>
        </is>
      </c>
      <c r="E154" t="inlineStr">
        <is>
          <t>MARCAS CASUAL NACIONAL HOMBRE</t>
        </is>
      </c>
      <c r="F154" t="n">
        <v>38</v>
      </c>
      <c r="G154" t="n">
        <v>119.99</v>
      </c>
      <c r="H154" t="n">
        <v>119.99</v>
      </c>
      <c r="I154" t="n">
        <v>58.98</v>
      </c>
      <c r="J154" t="inlineStr">
        <is>
          <t>OI</t>
        </is>
      </c>
      <c r="K154" t="inlineStr">
        <is>
          <t>RANGO 6_9</t>
        </is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R154">
        <f>IF(G1068&gt;0,1-H1068/G1068,"")</f>
        <v/>
      </c>
      <c r="S154">
        <f>IF(G1068&gt;0,(G1068/1.18-I1068)/(G1068/1.18),"")</f>
        <v/>
      </c>
      <c r="T154">
        <f>IF(H1068&gt;0,(H1068/1.18-I1068)/(H1068/1.18),"")</f>
        <v/>
      </c>
      <c r="U154" t="inlineStr">
        <is>
          <t>NOOS</t>
        </is>
      </c>
      <c r="V154" t="n">
        <v>89.81</v>
      </c>
      <c r="W154" t="n">
        <v>30.83</v>
      </c>
      <c r="X154" t="n">
        <v>0.3433</v>
      </c>
    </row>
    <row r="155">
      <c r="A155" t="inlineStr">
        <is>
          <t>36831597</t>
        </is>
      </c>
      <c r="B155" t="inlineStr">
        <is>
          <t>PRODUCTO 825A9B</t>
        </is>
      </c>
      <c r="C155" t="inlineStr">
        <is>
          <t>SILBON</t>
        </is>
      </c>
      <c r="D155" t="inlineStr">
        <is>
          <t>CAMISAS M/L</t>
        </is>
      </c>
      <c r="E155" t="inlineStr">
        <is>
          <t>MARCAS CASUAL NACIONAL HOMBRE</t>
        </is>
      </c>
      <c r="F155" t="n">
        <v>38</v>
      </c>
      <c r="G155" t="n">
        <v>239.99</v>
      </c>
      <c r="H155" t="n">
        <v>239.99</v>
      </c>
      <c r="I155" t="n">
        <v>117.96</v>
      </c>
      <c r="J155" t="inlineStr">
        <is>
          <t>TT</t>
        </is>
      </c>
      <c r="K155" t="inlineStr">
        <is>
          <t>RANGO 6_9</t>
        </is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R155">
        <f>IF(G1070&gt;0,1-H1070/G1070,"")</f>
        <v/>
      </c>
      <c r="S155">
        <f>IF(G1070&gt;0,(G1070/1.18-I1070)/(G1070/1.18),"")</f>
        <v/>
      </c>
      <c r="T155">
        <f>IF(H1070&gt;0,(H1070/1.18-I1070)/(H1070/1.18),"")</f>
        <v/>
      </c>
      <c r="U155" t="inlineStr">
        <is>
          <t>NOOS</t>
        </is>
      </c>
      <c r="V155" t="n">
        <v>389.81</v>
      </c>
      <c r="W155" t="n">
        <v>153.89</v>
      </c>
      <c r="X155" t="n">
        <v>0.3948</v>
      </c>
    </row>
    <row r="156">
      <c r="A156" t="inlineStr">
        <is>
          <t>36831622</t>
        </is>
      </c>
      <c r="B156" t="inlineStr">
        <is>
          <t>PRODUCTO 6C24C7</t>
        </is>
      </c>
      <c r="C156" t="inlineStr">
        <is>
          <t>SILBON</t>
        </is>
      </c>
      <c r="D156" t="inlineStr">
        <is>
          <t>CAMISAS M/L</t>
        </is>
      </c>
      <c r="E156" t="inlineStr">
        <is>
          <t>MARCAS CASUAL NACIONAL HOMBRE</t>
        </is>
      </c>
      <c r="F156" t="n">
        <v>38</v>
      </c>
      <c r="G156" t="n">
        <v>239.99</v>
      </c>
      <c r="H156" t="n">
        <v>239.99</v>
      </c>
      <c r="I156" t="n">
        <v>117.96</v>
      </c>
      <c r="J156" t="inlineStr">
        <is>
          <t>TT</t>
        </is>
      </c>
      <c r="K156" t="inlineStr">
        <is>
          <t>RANGO 6_9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R156">
        <f>IF(G1075&gt;0,1-H1075/G1075,"")</f>
        <v/>
      </c>
      <c r="S156">
        <f>IF(G1075&gt;0,(G1075/1.18-I1075)/(G1075/1.18),"")</f>
        <v/>
      </c>
      <c r="T156">
        <f>IF(H1075&gt;0,(H1075/1.18-I1075)/(H1075/1.18),"")</f>
        <v/>
      </c>
      <c r="U156" t="inlineStr">
        <is>
          <t>NOOS</t>
        </is>
      </c>
      <c r="V156" t="n">
        <v>0</v>
      </c>
      <c r="W156" t="n">
        <v>0</v>
      </c>
    </row>
    <row r="157">
      <c r="A157" t="inlineStr">
        <is>
          <t>36831726</t>
        </is>
      </c>
      <c r="B157" t="inlineStr">
        <is>
          <t>PRODUCTO B35FE9</t>
        </is>
      </c>
      <c r="C157" t="inlineStr">
        <is>
          <t>SILBON</t>
        </is>
      </c>
      <c r="D157" t="inlineStr">
        <is>
          <t>POLERONES</t>
        </is>
      </c>
      <c r="E157" t="inlineStr">
        <is>
          <t>MARCAS CASUAL NACIONAL HOMBRE</t>
        </is>
      </c>
      <c r="F157" t="n">
        <v>38</v>
      </c>
      <c r="G157" t="n">
        <v>239.99</v>
      </c>
      <c r="H157" t="n">
        <v>199.99</v>
      </c>
      <c r="I157" t="n">
        <v>117.96</v>
      </c>
      <c r="J157" t="inlineStr">
        <is>
          <t>OI</t>
        </is>
      </c>
      <c r="K157" t="inlineStr">
        <is>
          <t>RANGO 6_9</t>
        </is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R157">
        <f>IF(G1087&gt;0,1-H1087/G1087,"")</f>
        <v/>
      </c>
      <c r="S157">
        <f>IF(G1087&gt;0,(G1087/1.18-I1087)/(G1087/1.18),"")</f>
        <v/>
      </c>
      <c r="T157">
        <f>IF(H1087&gt;0,(H1087/1.18-I1087)/(H1087/1.18),"")</f>
        <v/>
      </c>
      <c r="U157" t="inlineStr">
        <is>
          <t>NOOS</t>
        </is>
      </c>
      <c r="V157" t="n">
        <v>152.53</v>
      </c>
      <c r="W157" t="n">
        <v>34.57</v>
      </c>
      <c r="X157" t="n">
        <v>0.2266</v>
      </c>
    </row>
    <row r="158">
      <c r="A158" t="inlineStr">
        <is>
          <t>36836506</t>
        </is>
      </c>
      <c r="B158" t="inlineStr">
        <is>
          <t>PRODUCTO 8A1284</t>
        </is>
      </c>
      <c r="C158" t="inlineStr">
        <is>
          <t>US POLO</t>
        </is>
      </c>
      <c r="D158" t="inlineStr">
        <is>
          <t>CAMISAS M/L</t>
        </is>
      </c>
      <c r="E158" t="inlineStr">
        <is>
          <t>MARCAS CASUAL INTERNACIONAL HOMBRE</t>
        </is>
      </c>
      <c r="F158" t="n">
        <v>29</v>
      </c>
      <c r="G158" t="n">
        <v>199.99</v>
      </c>
      <c r="H158" t="n">
        <v>99.98999999999999</v>
      </c>
      <c r="I158" t="n">
        <v>55.66</v>
      </c>
      <c r="J158" t="inlineStr">
        <is>
          <t>OI</t>
        </is>
      </c>
      <c r="K158" t="inlineStr">
        <is>
          <t>RANGO 6_9</t>
        </is>
      </c>
      <c r="L158" t="n">
        <v>13</v>
      </c>
      <c r="M158" t="n">
        <v>5</v>
      </c>
      <c r="N158" t="n">
        <v>4</v>
      </c>
      <c r="O158" t="n">
        <v>12</v>
      </c>
      <c r="P158" t="n">
        <v>6</v>
      </c>
      <c r="R158">
        <f>IF(G1094&gt;0,1-H1094/G1094,"")</f>
        <v/>
      </c>
      <c r="S158">
        <f>IF(G1094&gt;0,(G1094/1.18-I1094)/(G1094/1.18),"")</f>
        <v/>
      </c>
      <c r="T158">
        <f>IF(H1094&gt;0,(H1094/1.18-I1094)/(H1094/1.18),"")</f>
        <v/>
      </c>
      <c r="U158" t="inlineStr">
        <is>
          <t>NOOS</t>
        </is>
      </c>
      <c r="V158" t="n">
        <v>2852.68</v>
      </c>
      <c r="W158" t="n">
        <v>1352.08</v>
      </c>
      <c r="X158" t="n">
        <v>0.474</v>
      </c>
    </row>
    <row r="159">
      <c r="A159" t="inlineStr">
        <is>
          <t>36836523</t>
        </is>
      </c>
      <c r="B159" t="inlineStr">
        <is>
          <t>PRODUCTO EF4F86</t>
        </is>
      </c>
      <c r="C159" t="inlineStr">
        <is>
          <t>US POLO</t>
        </is>
      </c>
      <c r="D159" t="inlineStr">
        <is>
          <t>CAMISAS M/L</t>
        </is>
      </c>
      <c r="E159" t="inlineStr">
        <is>
          <t>MARCAS CASUAL INTERNACIONAL HOMBRE</t>
        </is>
      </c>
      <c r="F159" t="n">
        <v>29</v>
      </c>
      <c r="G159" t="n">
        <v>199.99</v>
      </c>
      <c r="H159" t="n">
        <v>99.98999999999999</v>
      </c>
      <c r="I159" t="n">
        <v>55.51</v>
      </c>
      <c r="J159" t="inlineStr">
        <is>
          <t>OI</t>
        </is>
      </c>
      <c r="K159" t="inlineStr">
        <is>
          <t>RANGO 6_9</t>
        </is>
      </c>
      <c r="L159" t="n">
        <v>0</v>
      </c>
      <c r="M159" t="n">
        <v>13</v>
      </c>
      <c r="N159" t="n">
        <v>11</v>
      </c>
      <c r="O159" t="n">
        <v>5</v>
      </c>
      <c r="P159" t="n">
        <v>5</v>
      </c>
      <c r="R159">
        <f>IF(G1095&gt;0,1-H1095/G1095,"")</f>
        <v/>
      </c>
      <c r="S159">
        <f>IF(G1095&gt;0,(G1095/1.18-I1095)/(G1095/1.18),"")</f>
        <v/>
      </c>
      <c r="T159">
        <f>IF(H1095&gt;0,(H1095/1.18-I1095)/(H1095/1.18),"")</f>
        <v/>
      </c>
      <c r="U159" t="inlineStr">
        <is>
          <t>NOOS</t>
        </is>
      </c>
      <c r="V159" t="n">
        <v>3450.93</v>
      </c>
      <c r="W159" t="n">
        <v>1566.98</v>
      </c>
      <c r="X159" t="n">
        <v>0.4541</v>
      </c>
    </row>
    <row r="160">
      <c r="A160" t="inlineStr">
        <is>
          <t>36838762</t>
        </is>
      </c>
      <c r="B160" t="inlineStr">
        <is>
          <t>PRODUCTO 0EB13C</t>
        </is>
      </c>
      <c r="C160" t="inlineStr">
        <is>
          <t>MARQUIS</t>
        </is>
      </c>
      <c r="D160" t="inlineStr">
        <is>
          <t>CHOMPAS</t>
        </is>
      </c>
      <c r="E160" t="inlineStr">
        <is>
          <t>MARQUIS HOMBRE</t>
        </is>
      </c>
      <c r="F160" t="n">
        <v>15</v>
      </c>
      <c r="G160" t="n">
        <v>119.99</v>
      </c>
      <c r="H160" t="n">
        <v>39.99</v>
      </c>
      <c r="I160" t="n">
        <v>25.94</v>
      </c>
      <c r="J160" t="inlineStr">
        <is>
          <t>PV</t>
        </is>
      </c>
      <c r="K160" t="inlineStr">
        <is>
          <t>RANGO 3_6</t>
        </is>
      </c>
      <c r="L160" t="n">
        <v>79</v>
      </c>
      <c r="M160" t="n">
        <v>80</v>
      </c>
      <c r="N160" t="n">
        <v>68</v>
      </c>
      <c r="O160" t="n">
        <v>65</v>
      </c>
      <c r="P160" t="n">
        <v>52</v>
      </c>
      <c r="R160">
        <f>IF(G1096&gt;0,1-H1096/G1096,"")</f>
        <v/>
      </c>
      <c r="S160">
        <f>IF(G1096&gt;0,(G1096/1.18-I1096)/(G1096/1.18),"")</f>
        <v/>
      </c>
      <c r="T160">
        <f>IF(H1096&gt;0,(H1096/1.18-I1096)/(H1096/1.18),"")</f>
        <v/>
      </c>
      <c r="U160" t="inlineStr">
        <is>
          <t>NOOS</t>
        </is>
      </c>
      <c r="V160" t="n">
        <v>9405.799999999999</v>
      </c>
      <c r="W160" t="n">
        <v>2533.82</v>
      </c>
      <c r="X160" t="n">
        <v>0.2694</v>
      </c>
    </row>
    <row r="161">
      <c r="A161" t="inlineStr">
        <is>
          <t>36851426</t>
        </is>
      </c>
      <c r="B161" t="inlineStr">
        <is>
          <t>PRODUCTO 344E62</t>
        </is>
      </c>
      <c r="C161" t="inlineStr">
        <is>
          <t>JOHN HOLDEN</t>
        </is>
      </c>
      <c r="D161" t="inlineStr">
        <is>
          <t>PANTALONES</t>
        </is>
      </c>
      <c r="E161" t="inlineStr">
        <is>
          <t>MARCAS CASUAL NACIONAL HOMBRE</t>
        </is>
      </c>
      <c r="F161" t="n">
        <v>3</v>
      </c>
      <c r="G161" t="n">
        <v>189.9</v>
      </c>
      <c r="H161" t="n">
        <v>189.9</v>
      </c>
      <c r="I161" t="n">
        <v>89.41</v>
      </c>
      <c r="J161" t="inlineStr">
        <is>
          <t>OI</t>
        </is>
      </c>
      <c r="K161" t="inlineStr">
        <is>
          <t>RANGO 0_3</t>
        </is>
      </c>
      <c r="L161" t="n">
        <v>2</v>
      </c>
      <c r="M161" t="n">
        <v>8</v>
      </c>
      <c r="N161" t="n">
        <v>3</v>
      </c>
      <c r="O161" t="n">
        <v>6</v>
      </c>
      <c r="P161" t="n">
        <v>1</v>
      </c>
      <c r="R161">
        <f>IF(G1101&gt;0,1-H1101/G1101,"")</f>
        <v/>
      </c>
      <c r="S161">
        <f>IF(G1101&gt;0,(G1101/1.18-I1101)/(G1101/1.18),"")</f>
        <v/>
      </c>
      <c r="T161">
        <f>IF(H1101&gt;0,(H1101/1.18-I1101)/(H1101/1.18),"")</f>
        <v/>
      </c>
      <c r="U161" t="inlineStr">
        <is>
          <t>NOOS</t>
        </is>
      </c>
      <c r="V161" t="n">
        <v>2479.53</v>
      </c>
      <c r="W161" t="n">
        <v>870.15</v>
      </c>
      <c r="X161" t="n">
        <v>0.3509</v>
      </c>
    </row>
    <row r="162">
      <c r="A162" t="inlineStr">
        <is>
          <t>36863178</t>
        </is>
      </c>
      <c r="B162" t="inlineStr">
        <is>
          <t>PRODUCTO C2C776</t>
        </is>
      </c>
      <c r="C162" t="inlineStr">
        <is>
          <t>CACHAREL</t>
        </is>
      </c>
      <c r="D162" t="inlineStr">
        <is>
          <t>CAMISAS M/L</t>
        </is>
      </c>
      <c r="E162" t="inlineStr">
        <is>
          <t>CACHAREL HOMBRE</t>
        </is>
      </c>
      <c r="F162" t="n">
        <v>12</v>
      </c>
      <c r="G162" t="n">
        <v>119.99</v>
      </c>
      <c r="H162" t="n">
        <v>99.98999999999999</v>
      </c>
      <c r="I162" t="n">
        <v>25.92</v>
      </c>
      <c r="J162" t="inlineStr">
        <is>
          <t>PV</t>
        </is>
      </c>
      <c r="K162" t="inlineStr">
        <is>
          <t>RANGO 0_3</t>
        </is>
      </c>
      <c r="L162" t="n">
        <v>56</v>
      </c>
      <c r="M162" t="n">
        <v>56</v>
      </c>
      <c r="N162" t="n">
        <v>36</v>
      </c>
      <c r="O162" t="n">
        <v>26</v>
      </c>
      <c r="P162" t="n">
        <v>33</v>
      </c>
      <c r="R162">
        <f>IF(G1103&gt;0,1-H1103/G1103,"")</f>
        <v/>
      </c>
      <c r="S162">
        <f>IF(G1103&gt;0,(G1103/1.18-I1103)/(G1103/1.18),"")</f>
        <v/>
      </c>
      <c r="T162">
        <f>IF(H1103&gt;0,(H1103/1.18-I1103)/(H1103/1.18),"")</f>
        <v/>
      </c>
      <c r="U162" t="inlineStr">
        <is>
          <t>NOOS</t>
        </is>
      </c>
      <c r="V162" t="n">
        <v>11244.06</v>
      </c>
      <c r="W162" t="n">
        <v>7331.06</v>
      </c>
      <c r="X162" t="n">
        <v>0.652</v>
      </c>
    </row>
    <row r="163">
      <c r="A163" t="inlineStr">
        <is>
          <t>36863338</t>
        </is>
      </c>
      <c r="B163" t="inlineStr">
        <is>
          <t>PRODUCTO 01E690</t>
        </is>
      </c>
      <c r="C163" t="inlineStr">
        <is>
          <t>NAVIGATA</t>
        </is>
      </c>
      <c r="D163" t="inlineStr">
        <is>
          <t>CAMISAS M/C</t>
        </is>
      </c>
      <c r="E163" t="inlineStr">
        <is>
          <t>NAVIGATA HOMBRE</t>
        </is>
      </c>
      <c r="F163" t="n">
        <v>4</v>
      </c>
      <c r="G163" t="n">
        <v>119.99</v>
      </c>
      <c r="H163" t="n">
        <v>99.98999999999999</v>
      </c>
      <c r="I163" t="n">
        <v>21.31</v>
      </c>
      <c r="J163" t="inlineStr">
        <is>
          <t>PV</t>
        </is>
      </c>
      <c r="K163" t="inlineStr">
        <is>
          <t>RANGO 0_3</t>
        </is>
      </c>
      <c r="L163" t="n">
        <v>102</v>
      </c>
      <c r="M163" t="n">
        <v>24</v>
      </c>
      <c r="N163" t="n">
        <v>15</v>
      </c>
      <c r="O163" t="n">
        <v>16</v>
      </c>
      <c r="P163" t="n">
        <v>8</v>
      </c>
      <c r="R163">
        <f>IF(G1110&gt;0,1-H1110/G1110,"")</f>
        <v/>
      </c>
      <c r="S163">
        <f>IF(G1110&gt;0,(G1110/1.18-I1110)/(G1110/1.18),"")</f>
        <v/>
      </c>
      <c r="T163">
        <f>IF(H1110&gt;0,(H1110/1.18-I1110)/(H1110/1.18),"")</f>
        <v/>
      </c>
      <c r="U163" t="inlineStr">
        <is>
          <t>NOOS</t>
        </is>
      </c>
      <c r="V163" t="n">
        <v>4995.09</v>
      </c>
      <c r="W163" t="n">
        <v>3590.31</v>
      </c>
      <c r="X163" t="n">
        <v>0.7188</v>
      </c>
    </row>
    <row r="164">
      <c r="A164" t="inlineStr">
        <is>
          <t>36872662</t>
        </is>
      </c>
      <c r="B164" t="inlineStr">
        <is>
          <t>PRODUCTO 1DA53A</t>
        </is>
      </c>
      <c r="C164" t="inlineStr">
        <is>
          <t>MARQUIS</t>
        </is>
      </c>
      <c r="D164" t="inlineStr">
        <is>
          <t>CASACAS</t>
        </is>
      </c>
      <c r="E164" t="inlineStr">
        <is>
          <t>MARQUIS HOMBRE</t>
        </is>
      </c>
      <c r="F164" t="n">
        <v>11</v>
      </c>
      <c r="G164" t="n">
        <v>279.99</v>
      </c>
      <c r="H164" t="n">
        <v>279.99</v>
      </c>
      <c r="I164" t="n">
        <v>110.82</v>
      </c>
      <c r="J164" t="inlineStr">
        <is>
          <t>PV</t>
        </is>
      </c>
      <c r="K164" t="inlineStr">
        <is>
          <t>RANGO 0_3</t>
        </is>
      </c>
      <c r="L164" t="n">
        <v>3</v>
      </c>
      <c r="M164" t="n">
        <v>3</v>
      </c>
      <c r="N164" t="n">
        <v>2</v>
      </c>
      <c r="O164" t="n">
        <v>1</v>
      </c>
      <c r="P164" t="n">
        <v>-1</v>
      </c>
      <c r="R164">
        <f>IF(G1120&gt;0,1-H1120/G1120,"")</f>
        <v/>
      </c>
      <c r="S164">
        <f>IF(G1120&gt;0,(G1120/1.18-I1120)/(G1120/1.18),"")</f>
        <v/>
      </c>
      <c r="T164">
        <f>IF(H1120&gt;0,(H1120/1.18-I1120)/(H1120/1.18),"")</f>
        <v/>
      </c>
      <c r="U164" t="inlineStr">
        <is>
          <t>NOOS</t>
        </is>
      </c>
      <c r="V164" t="n">
        <v>586.63</v>
      </c>
      <c r="W164" t="n">
        <v>32.53</v>
      </c>
      <c r="X164" t="n">
        <v>0.0555</v>
      </c>
    </row>
    <row r="165">
      <c r="A165" t="inlineStr">
        <is>
          <t>36877652</t>
        </is>
      </c>
      <c r="B165" t="inlineStr">
        <is>
          <t>PRODUCTO 57493C</t>
        </is>
      </c>
      <c r="C165" t="inlineStr">
        <is>
          <t>PIERRE CARDIN</t>
        </is>
      </c>
      <c r="D165" t="inlineStr">
        <is>
          <t>POLOS M/C</t>
        </is>
      </c>
      <c r="E165" t="inlineStr">
        <is>
          <t>MARCAS CASUAL NACIONAL HOMBRE</t>
        </is>
      </c>
      <c r="F165" t="n">
        <v>9</v>
      </c>
      <c r="G165" t="n">
        <v>229</v>
      </c>
      <c r="H165" t="n">
        <v>229</v>
      </c>
      <c r="I165" t="n">
        <v>126.14</v>
      </c>
      <c r="J165" t="inlineStr">
        <is>
          <t>OI</t>
        </is>
      </c>
      <c r="K165" t="inlineStr">
        <is>
          <t>RANGO 0_3</t>
        </is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R165">
        <f>IF(G1125&gt;0,1-H1125/G1125,"")</f>
        <v/>
      </c>
      <c r="S165">
        <f>IF(G1125&gt;0,(G1125/1.18-I1125)/(G1125/1.18),"")</f>
        <v/>
      </c>
      <c r="T165">
        <f>IF(H1125&gt;0,(H1125/1.18-I1125)/(H1125/1.18),"")</f>
        <v/>
      </c>
      <c r="U165" t="inlineStr">
        <is>
          <t>NOOS</t>
        </is>
      </c>
      <c r="V165" t="n">
        <v>97.03</v>
      </c>
      <c r="W165" t="n">
        <v>33.95</v>
      </c>
      <c r="X165" t="n">
        <v>0.3499</v>
      </c>
    </row>
    <row r="166">
      <c r="A166" t="inlineStr">
        <is>
          <t>36878528</t>
        </is>
      </c>
      <c r="B166" t="inlineStr">
        <is>
          <t>PRODUCTO 5F2ECD</t>
        </is>
      </c>
      <c r="C166" t="inlineStr">
        <is>
          <t>NORTON</t>
        </is>
      </c>
      <c r="D166" t="inlineStr">
        <is>
          <t>CAMISAS M/C</t>
        </is>
      </c>
      <c r="E166" t="inlineStr">
        <is>
          <t>MARCAS CASUAL NACIONAL HOMBRE</t>
        </is>
      </c>
      <c r="F166" t="n">
        <v>35</v>
      </c>
      <c r="G166" t="n">
        <v>159.99</v>
      </c>
      <c r="H166" t="n">
        <v>95.98999999999999</v>
      </c>
      <c r="I166" t="n">
        <v>88.04000000000001</v>
      </c>
      <c r="J166" t="inlineStr">
        <is>
          <t>OI</t>
        </is>
      </c>
      <c r="K166" t="inlineStr">
        <is>
          <t>RANGO 6_9</t>
        </is>
      </c>
      <c r="L166" t="n">
        <v>6</v>
      </c>
      <c r="M166" t="n">
        <v>0</v>
      </c>
      <c r="N166" t="n">
        <v>0</v>
      </c>
      <c r="O166" t="n">
        <v>2</v>
      </c>
      <c r="P166" t="n">
        <v>0</v>
      </c>
      <c r="R166">
        <f>IF(G1126&gt;0,1-H1126/G1126,"")</f>
        <v/>
      </c>
      <c r="S166">
        <f>IF(G1126&gt;0,(G1126/1.18-I1126)/(G1126/1.18),"")</f>
        <v/>
      </c>
      <c r="T166">
        <f>IF(H1126&gt;0,(H1126/1.18-I1126)/(H1126/1.18),"")</f>
        <v/>
      </c>
      <c r="U166" t="inlineStr">
        <is>
          <t>NOOS</t>
        </is>
      </c>
      <c r="V166" t="n">
        <v>162.7</v>
      </c>
      <c r="W166" t="n">
        <v>56.96</v>
      </c>
      <c r="X166" t="n">
        <v>0.3501</v>
      </c>
    </row>
    <row r="167">
      <c r="A167" t="inlineStr">
        <is>
          <t>36878770</t>
        </is>
      </c>
      <c r="B167" t="inlineStr">
        <is>
          <t>PRODUCTO C9368C</t>
        </is>
      </c>
      <c r="C167" t="inlineStr">
        <is>
          <t>MARQUIS</t>
        </is>
      </c>
      <c r="D167" t="inlineStr">
        <is>
          <t>CAMISAS M/L</t>
        </is>
      </c>
      <c r="E167" t="inlineStr">
        <is>
          <t>MARQUIS HOMBRE</t>
        </is>
      </c>
      <c r="F167" t="n">
        <v>9</v>
      </c>
      <c r="G167" t="n">
        <v>119.99</v>
      </c>
      <c r="H167" t="n">
        <v>99.98999999999999</v>
      </c>
      <c r="I167" t="n">
        <v>25.84</v>
      </c>
      <c r="J167" t="inlineStr">
        <is>
          <t>PV</t>
        </is>
      </c>
      <c r="K167" t="inlineStr">
        <is>
          <t>RANGO 0_3</t>
        </is>
      </c>
      <c r="L167" t="n">
        <v>17</v>
      </c>
      <c r="M167" t="n">
        <v>29</v>
      </c>
      <c r="N167" t="n">
        <v>19</v>
      </c>
      <c r="O167" t="n">
        <v>29</v>
      </c>
      <c r="P167" t="n">
        <v>31</v>
      </c>
      <c r="R167">
        <f>IF(G1133&gt;0,1-H1133/G1133,"")</f>
        <v/>
      </c>
      <c r="S167">
        <f>IF(G1133&gt;0,(G1133/1.18-I1133)/(G1133/1.18),"")</f>
        <v/>
      </c>
      <c r="T167">
        <f>IF(H1133&gt;0,(H1133/1.18-I1133)/(H1133/1.18),"")</f>
        <v/>
      </c>
      <c r="U167" t="inlineStr">
        <is>
          <t>NOOS</t>
        </is>
      </c>
      <c r="V167" t="n">
        <v>8052.24</v>
      </c>
      <c r="W167" t="n">
        <v>5263.23</v>
      </c>
      <c r="X167" t="n">
        <v>0.6536</v>
      </c>
    </row>
    <row r="168">
      <c r="A168" t="inlineStr">
        <is>
          <t>36878775</t>
        </is>
      </c>
      <c r="B168" t="inlineStr">
        <is>
          <t>PRODUCTO 37E2D3</t>
        </is>
      </c>
      <c r="C168" t="inlineStr">
        <is>
          <t>MARQUIS</t>
        </is>
      </c>
      <c r="D168" t="inlineStr">
        <is>
          <t>CAMISAS M/L</t>
        </is>
      </c>
      <c r="E168" t="inlineStr">
        <is>
          <t>MARQUIS HOMBRE</t>
        </is>
      </c>
      <c r="F168" t="n">
        <v>9</v>
      </c>
      <c r="G168" t="n">
        <v>119.99</v>
      </c>
      <c r="H168" t="n">
        <v>99.98999999999999</v>
      </c>
      <c r="I168" t="n">
        <v>25.97</v>
      </c>
      <c r="J168" t="inlineStr">
        <is>
          <t>PV</t>
        </is>
      </c>
      <c r="K168" t="inlineStr">
        <is>
          <t>RANGO 0_3</t>
        </is>
      </c>
      <c r="L168" t="n">
        <v>21</v>
      </c>
      <c r="M168" t="n">
        <v>19</v>
      </c>
      <c r="N168" t="n">
        <v>26</v>
      </c>
      <c r="O168" t="n">
        <v>24</v>
      </c>
      <c r="P168" t="n">
        <v>20</v>
      </c>
      <c r="R168">
        <f>IF(G1134&gt;0,1-H1134/G1134,"")</f>
        <v/>
      </c>
      <c r="S168">
        <f>IF(G1134&gt;0,(G1134/1.18-I1134)/(G1134/1.18),"")</f>
        <v/>
      </c>
      <c r="T168">
        <f>IF(H1134&gt;0,(H1134/1.18-I1134)/(H1134/1.18),"")</f>
        <v/>
      </c>
      <c r="U168" t="inlineStr">
        <is>
          <t>NOOS</t>
        </is>
      </c>
      <c r="V168" t="n">
        <v>6644.96</v>
      </c>
      <c r="W168" t="n">
        <v>4333.62</v>
      </c>
      <c r="X168" t="n">
        <v>0.6522</v>
      </c>
    </row>
    <row r="169">
      <c r="A169" t="inlineStr">
        <is>
          <t>36887980</t>
        </is>
      </c>
      <c r="B169" t="inlineStr">
        <is>
          <t>PRODUCTO 9472FC</t>
        </is>
      </c>
      <c r="C169" t="inlineStr">
        <is>
          <t>NAVIGATA</t>
        </is>
      </c>
      <c r="D169" t="inlineStr">
        <is>
          <t>CAMISAS M/L</t>
        </is>
      </c>
      <c r="E169" t="inlineStr">
        <is>
          <t>NAVIGATA HOMBRE</t>
        </is>
      </c>
      <c r="F169" t="n">
        <v>5</v>
      </c>
      <c r="G169" t="n">
        <v>99.98999999999999</v>
      </c>
      <c r="H169" t="n">
        <v>99.98999999999999</v>
      </c>
      <c r="I169" t="n">
        <v>29.61</v>
      </c>
      <c r="J169" t="inlineStr">
        <is>
          <t>PV</t>
        </is>
      </c>
      <c r="K169" t="inlineStr">
        <is>
          <t>RANGO 0_3</t>
        </is>
      </c>
      <c r="L169" t="n">
        <v>192</v>
      </c>
      <c r="M169" t="n">
        <v>78</v>
      </c>
      <c r="N169" t="n">
        <v>42</v>
      </c>
      <c r="O169" t="n">
        <v>65</v>
      </c>
      <c r="P169" t="n">
        <v>27</v>
      </c>
      <c r="R169">
        <f>IF(G1138&gt;0,1-H1138/G1138,"")</f>
        <v/>
      </c>
      <c r="S169">
        <f>IF(G1138&gt;0,(G1138/1.18-I1138)/(G1138/1.18),"")</f>
        <v/>
      </c>
      <c r="T169">
        <f>IF(H1138&gt;0,(H1138/1.18-I1138)/(H1138/1.18),"")</f>
        <v/>
      </c>
      <c r="U169" t="inlineStr">
        <is>
          <t>NOOS</t>
        </is>
      </c>
      <c r="V169" t="n">
        <v>13105.25</v>
      </c>
      <c r="W169" t="n">
        <v>6828.05</v>
      </c>
      <c r="X169" t="n">
        <v>0.521</v>
      </c>
    </row>
    <row r="170">
      <c r="A170" t="inlineStr">
        <is>
          <t>36896074</t>
        </is>
      </c>
      <c r="B170" t="inlineStr">
        <is>
          <t>PRODUCTO 665E7B</t>
        </is>
      </c>
      <c r="C170" t="inlineStr">
        <is>
          <t>NAVIGATA</t>
        </is>
      </c>
      <c r="D170" t="inlineStr">
        <is>
          <t>POLOS M/L</t>
        </is>
      </c>
      <c r="E170" t="inlineStr">
        <is>
          <t>NAVIGATA HOMBRE</t>
        </is>
      </c>
      <c r="F170" t="n">
        <v>6</v>
      </c>
      <c r="G170" t="n">
        <v>59.99</v>
      </c>
      <c r="H170" t="n">
        <v>59.99</v>
      </c>
      <c r="I170" t="n">
        <v>18.83</v>
      </c>
      <c r="J170" t="inlineStr">
        <is>
          <t>PV</t>
        </is>
      </c>
      <c r="K170" t="inlineStr">
        <is>
          <t>RANGO 0_3</t>
        </is>
      </c>
      <c r="L170" t="n">
        <v>127</v>
      </c>
      <c r="M170" t="n">
        <v>93</v>
      </c>
      <c r="N170" t="n">
        <v>50</v>
      </c>
      <c r="O170" t="n">
        <v>77</v>
      </c>
      <c r="P170" t="n">
        <v>45</v>
      </c>
      <c r="R170">
        <f>IF(G1153&gt;0,1-H1153/G1153,"")</f>
        <v/>
      </c>
      <c r="S170">
        <f>IF(G1153&gt;0,(G1153/1.18-I1153)/(G1153/1.18),"")</f>
        <v/>
      </c>
      <c r="T170">
        <f>IF(H1153&gt;0,(H1153/1.18-I1153)/(H1153/1.18),"")</f>
        <v/>
      </c>
      <c r="U170" t="inlineStr">
        <is>
          <t>NOOS</t>
        </is>
      </c>
      <c r="V170" t="n">
        <v>9306.059999999999</v>
      </c>
      <c r="W170" t="n">
        <v>4321.51</v>
      </c>
      <c r="X170" t="n">
        <v>0.4644</v>
      </c>
    </row>
    <row r="171">
      <c r="A171" t="inlineStr">
        <is>
          <t>36896421</t>
        </is>
      </c>
      <c r="B171" t="inlineStr">
        <is>
          <t>PRODUCTO FC4316</t>
        </is>
      </c>
      <c r="C171" t="inlineStr">
        <is>
          <t>MARQUIS</t>
        </is>
      </c>
      <c r="D171" t="inlineStr">
        <is>
          <t>CASACAS</t>
        </is>
      </c>
      <c r="E171" t="inlineStr">
        <is>
          <t>MARQUIS HOMBRE</t>
        </is>
      </c>
      <c r="F171" t="n">
        <v>12</v>
      </c>
      <c r="G171" t="n">
        <v>219.99</v>
      </c>
      <c r="H171" t="n">
        <v>179.99</v>
      </c>
      <c r="I171" t="n">
        <v>61.77</v>
      </c>
      <c r="J171" t="inlineStr">
        <is>
          <t>PV</t>
        </is>
      </c>
      <c r="K171" t="inlineStr">
        <is>
          <t>RANGO 0_3</t>
        </is>
      </c>
      <c r="L171" t="n">
        <v>0</v>
      </c>
      <c r="M171" t="n">
        <v>39</v>
      </c>
      <c r="N171" t="n">
        <v>18</v>
      </c>
      <c r="O171" t="n">
        <v>33</v>
      </c>
      <c r="P171" t="n">
        <v>17</v>
      </c>
      <c r="R171">
        <f>IF(G1156&gt;0,1-H1156/G1156,"")</f>
        <v/>
      </c>
      <c r="S171">
        <f>IF(G1156&gt;0,(G1156/1.18-I1156)/(G1156/1.18),"")</f>
        <v/>
      </c>
      <c r="T171">
        <f>IF(H1156&gt;0,(H1156/1.18-I1156)/(H1156/1.18),"")</f>
        <v/>
      </c>
      <c r="U171" t="inlineStr">
        <is>
          <t>NOOS</t>
        </is>
      </c>
      <c r="V171" t="n">
        <v>11363.36</v>
      </c>
      <c r="W171" t="n">
        <v>4760.19</v>
      </c>
      <c r="X171" t="n">
        <v>0.4189</v>
      </c>
    </row>
    <row r="172">
      <c r="A172" t="inlineStr">
        <is>
          <t>36897685</t>
        </is>
      </c>
      <c r="B172" t="inlineStr">
        <is>
          <t>PRODUCTO D859F1</t>
        </is>
      </c>
      <c r="C172" t="inlineStr">
        <is>
          <t>NAUTICA</t>
        </is>
      </c>
      <c r="D172" t="inlineStr">
        <is>
          <t>POLOS M/C</t>
        </is>
      </c>
      <c r="E172" t="inlineStr">
        <is>
          <t>MARCAS CASUAL INTERNACIONAL HOMBRE</t>
        </is>
      </c>
      <c r="F172" t="n">
        <v>19</v>
      </c>
      <c r="G172" t="n">
        <v>279.99</v>
      </c>
      <c r="H172" t="n">
        <v>169.99</v>
      </c>
      <c r="I172" t="n">
        <v>98.89</v>
      </c>
      <c r="J172" t="inlineStr">
        <is>
          <t>OI</t>
        </is>
      </c>
      <c r="K172" t="inlineStr">
        <is>
          <t>RANGO 3_6</t>
        </is>
      </c>
      <c r="L172" t="n">
        <v>0</v>
      </c>
      <c r="M172" t="n">
        <v>1</v>
      </c>
      <c r="N172" t="n">
        <v>0</v>
      </c>
      <c r="O172" t="n">
        <v>1</v>
      </c>
      <c r="P172" t="n">
        <v>2</v>
      </c>
      <c r="R172">
        <f>IF(G1160&gt;0,1-H1160/G1160,"")</f>
        <v/>
      </c>
      <c r="S172">
        <f>IF(G1160&gt;0,(G1160/1.18-I1160)/(G1160/1.18),"")</f>
        <v/>
      </c>
      <c r="T172">
        <f>IF(H1160&gt;0,(H1160/1.18-I1160)/(H1160/1.18),"")</f>
        <v/>
      </c>
      <c r="U172" t="inlineStr">
        <is>
          <t>NOOS</t>
        </is>
      </c>
      <c r="V172" t="n">
        <v>609.12</v>
      </c>
      <c r="W172" t="n">
        <v>219.34</v>
      </c>
      <c r="X172" t="n">
        <v>0.3601</v>
      </c>
    </row>
    <row r="173">
      <c r="A173" t="inlineStr">
        <is>
          <t>36897708</t>
        </is>
      </c>
      <c r="B173" t="inlineStr">
        <is>
          <t>PRODUCTO 141000</t>
        </is>
      </c>
      <c r="C173" t="inlineStr">
        <is>
          <t>NAUTICA</t>
        </is>
      </c>
      <c r="D173" t="inlineStr">
        <is>
          <t>PANTALONES</t>
        </is>
      </c>
      <c r="E173" t="inlineStr">
        <is>
          <t>MARCAS CASUAL INTERNACIONAL HOMBRE</t>
        </is>
      </c>
      <c r="F173" t="n">
        <v>19</v>
      </c>
      <c r="G173" t="n">
        <v>279.99</v>
      </c>
      <c r="H173" t="n">
        <v>179.99</v>
      </c>
      <c r="I173" t="n">
        <v>106.6</v>
      </c>
      <c r="J173" t="inlineStr">
        <is>
          <t>TT</t>
        </is>
      </c>
      <c r="K173" t="inlineStr">
        <is>
          <t>RANGO 3_6</t>
        </is>
      </c>
      <c r="L173" t="n">
        <v>0</v>
      </c>
      <c r="M173" t="n">
        <v>0</v>
      </c>
      <c r="N173" t="n">
        <v>0</v>
      </c>
      <c r="O173" t="n">
        <v>3</v>
      </c>
      <c r="P173" t="n">
        <v>1</v>
      </c>
      <c r="R173">
        <f>IF(G1164&gt;0,1-H1164/G1164,"")</f>
        <v/>
      </c>
      <c r="S173">
        <f>IF(G1164&gt;0,(G1164/1.18-I1164)/(G1164/1.18),"")</f>
        <v/>
      </c>
      <c r="T173">
        <f>IF(H1164&gt;0,(H1164/1.18-I1164)/(H1164/1.18),"")</f>
        <v/>
      </c>
      <c r="U173" t="inlineStr">
        <is>
          <t>NOOS</t>
        </is>
      </c>
      <c r="V173" t="n">
        <v>705.04</v>
      </c>
      <c r="W173" t="n">
        <v>281.69</v>
      </c>
      <c r="X173" t="n">
        <v>0.3995</v>
      </c>
    </row>
    <row r="174">
      <c r="A174" t="inlineStr">
        <is>
          <t>36897733</t>
        </is>
      </c>
      <c r="B174" t="inlineStr">
        <is>
          <t>PRODUCTO 76B1D5</t>
        </is>
      </c>
      <c r="C174" t="inlineStr">
        <is>
          <t>NAUTICA</t>
        </is>
      </c>
      <c r="D174" t="inlineStr">
        <is>
          <t>POLOS M/C</t>
        </is>
      </c>
      <c r="E174" t="inlineStr">
        <is>
          <t>MARCAS CASUAL INTERNACIONAL HOMBRE</t>
        </is>
      </c>
      <c r="F174" t="n">
        <v>19</v>
      </c>
      <c r="G174" t="n">
        <v>299.99</v>
      </c>
      <c r="H174" t="n">
        <v>169.99</v>
      </c>
      <c r="I174" t="n">
        <v>101.41</v>
      </c>
      <c r="J174" t="inlineStr">
        <is>
          <t>OI</t>
        </is>
      </c>
      <c r="K174" t="inlineStr">
        <is>
          <t>RANGO 3_6</t>
        </is>
      </c>
      <c r="L174" t="n">
        <v>0</v>
      </c>
      <c r="M174" t="n">
        <v>1</v>
      </c>
      <c r="N174" t="n">
        <v>0</v>
      </c>
      <c r="O174" t="n">
        <v>0</v>
      </c>
      <c r="P174" t="n">
        <v>2</v>
      </c>
      <c r="R174">
        <f>IF(G1168&gt;0,1-H1168/G1168,"")</f>
        <v/>
      </c>
      <c r="S174">
        <f>IF(G1168&gt;0,(G1168/1.18-I1168)/(G1168/1.18),"")</f>
        <v/>
      </c>
      <c r="T174">
        <f>IF(H1168&gt;0,(H1168/1.18-I1168)/(H1168/1.18),"")</f>
        <v/>
      </c>
      <c r="U174" t="inlineStr">
        <is>
          <t>NOOS</t>
        </is>
      </c>
      <c r="V174" t="n">
        <v>525.36</v>
      </c>
      <c r="W174" t="n">
        <v>221.13</v>
      </c>
      <c r="X174" t="n">
        <v>0.4209</v>
      </c>
    </row>
    <row r="175">
      <c r="A175" t="inlineStr">
        <is>
          <t>36897773</t>
        </is>
      </c>
      <c r="B175" t="inlineStr">
        <is>
          <t>PRODUCTO 40629A</t>
        </is>
      </c>
      <c r="C175" t="inlineStr">
        <is>
          <t>NAUTICA</t>
        </is>
      </c>
      <c r="D175" t="inlineStr">
        <is>
          <t>POLOS M/C</t>
        </is>
      </c>
      <c r="E175" t="inlineStr">
        <is>
          <t>MARCAS CASUAL INTERNACIONAL HOMBRE</t>
        </is>
      </c>
      <c r="F175" t="n">
        <v>19</v>
      </c>
      <c r="G175" t="n">
        <v>299.99</v>
      </c>
      <c r="H175" t="n">
        <v>169.99</v>
      </c>
      <c r="I175" t="n">
        <v>101.41</v>
      </c>
      <c r="J175" t="inlineStr">
        <is>
          <t>OI</t>
        </is>
      </c>
      <c r="K175" t="inlineStr">
        <is>
          <t>RANGO 3_6</t>
        </is>
      </c>
      <c r="L175" t="n">
        <v>0</v>
      </c>
      <c r="M175" t="n">
        <v>-1</v>
      </c>
      <c r="N175" t="n">
        <v>4</v>
      </c>
      <c r="O175" t="n">
        <v>1</v>
      </c>
      <c r="P175" t="n">
        <v>0</v>
      </c>
      <c r="R175">
        <f>IF(G1176&gt;0,1-H1176/G1176,"")</f>
        <v/>
      </c>
      <c r="S175">
        <f>IF(G1176&gt;0,(G1176/1.18-I1176)/(G1176/1.18),"")</f>
        <v/>
      </c>
      <c r="T175">
        <f>IF(H1176&gt;0,(H1176/1.18-I1176)/(H1176/1.18),"")</f>
        <v/>
      </c>
      <c r="U175" t="inlineStr">
        <is>
          <t>NOOS</t>
        </is>
      </c>
      <c r="V175" t="n">
        <v>677.92</v>
      </c>
      <c r="W175" t="n">
        <v>272.28</v>
      </c>
      <c r="X175" t="n">
        <v>0.4016</v>
      </c>
    </row>
    <row r="176">
      <c r="A176" t="inlineStr">
        <is>
          <t>36897783</t>
        </is>
      </c>
      <c r="B176" t="inlineStr">
        <is>
          <t>PRODUCTO BDC9FF</t>
        </is>
      </c>
      <c r="C176" t="inlineStr">
        <is>
          <t>NAUTICA</t>
        </is>
      </c>
      <c r="D176" t="inlineStr">
        <is>
          <t>POLOS M/C</t>
        </is>
      </c>
      <c r="E176" t="inlineStr">
        <is>
          <t>MARCAS CASUAL INTERNACIONAL HOMBRE</t>
        </is>
      </c>
      <c r="F176" t="n">
        <v>19</v>
      </c>
      <c r="G176" t="n">
        <v>169.99</v>
      </c>
      <c r="H176" t="n">
        <v>79.98999999999999</v>
      </c>
      <c r="I176" t="n">
        <v>54.06</v>
      </c>
      <c r="J176" t="inlineStr">
        <is>
          <t>OI</t>
        </is>
      </c>
      <c r="K176" t="inlineStr">
        <is>
          <t>RANGO 3_6</t>
        </is>
      </c>
      <c r="L176" t="n">
        <v>0</v>
      </c>
      <c r="M176" t="n">
        <v>5</v>
      </c>
      <c r="N176" t="n">
        <v>0</v>
      </c>
      <c r="O176" t="n">
        <v>1</v>
      </c>
      <c r="P176" t="n">
        <v>0</v>
      </c>
      <c r="R176">
        <f>IF(G1178&gt;0,1-H1178/G1178,"")</f>
        <v/>
      </c>
      <c r="S176">
        <f>IF(G1178&gt;0,(G1178/1.18-I1178)/(G1178/1.18),"")</f>
        <v/>
      </c>
      <c r="T176">
        <f>IF(H1178&gt;0,(H1178/1.18-I1178)/(H1178/1.18),"")</f>
        <v/>
      </c>
      <c r="U176" t="inlineStr">
        <is>
          <t>NOOS</t>
        </is>
      </c>
      <c r="V176" t="n">
        <v>406.74</v>
      </c>
      <c r="W176" t="n">
        <v>82.38</v>
      </c>
      <c r="X176" t="n">
        <v>0.2025</v>
      </c>
    </row>
    <row r="177">
      <c r="A177" t="inlineStr">
        <is>
          <t>36897875</t>
        </is>
      </c>
      <c r="B177" t="inlineStr">
        <is>
          <t>PRODUCTO A8E300</t>
        </is>
      </c>
      <c r="C177" t="inlineStr">
        <is>
          <t>NAUTICA</t>
        </is>
      </c>
      <c r="D177" t="inlineStr">
        <is>
          <t>JEANS</t>
        </is>
      </c>
      <c r="E177" t="inlineStr">
        <is>
          <t>MARCAS CASUAL INTERNACIONAL HOMBRE</t>
        </is>
      </c>
      <c r="F177" t="n">
        <v>19</v>
      </c>
      <c r="G177" t="n">
        <v>279.99</v>
      </c>
      <c r="H177" t="n">
        <v>179.99</v>
      </c>
      <c r="I177" t="n">
        <v>111.45</v>
      </c>
      <c r="J177" t="inlineStr">
        <is>
          <t>TT</t>
        </is>
      </c>
      <c r="K177" t="inlineStr">
        <is>
          <t>RANGO 3_6</t>
        </is>
      </c>
      <c r="L177" t="n">
        <v>0</v>
      </c>
      <c r="M177" t="n">
        <v>2</v>
      </c>
      <c r="N177" t="n">
        <v>0</v>
      </c>
      <c r="O177" t="n">
        <v>0</v>
      </c>
      <c r="P177" t="n">
        <v>1</v>
      </c>
      <c r="R177">
        <f>IF(G1196&gt;0,1-H1196/G1196,"")</f>
        <v/>
      </c>
      <c r="S177">
        <f>IF(G1196&gt;0,(G1196/1.18-I1196)/(G1196/1.18),"")</f>
        <v/>
      </c>
      <c r="T177">
        <f>IF(H1196&gt;0,(H1196/1.18-I1196)/(H1196/1.18),"")</f>
        <v/>
      </c>
      <c r="U177" t="inlineStr">
        <is>
          <t>NOOS</t>
        </is>
      </c>
      <c r="V177" t="n">
        <v>474.54</v>
      </c>
      <c r="W177" t="n">
        <v>140.19</v>
      </c>
      <c r="X177" t="n">
        <v>0.2954</v>
      </c>
    </row>
    <row r="178">
      <c r="A178" t="inlineStr">
        <is>
          <t>36900734</t>
        </is>
      </c>
      <c r="B178" t="inlineStr">
        <is>
          <t>PRODUCTO 0DEABF</t>
        </is>
      </c>
      <c r="C178" t="inlineStr">
        <is>
          <t>MARQUIS</t>
        </is>
      </c>
      <c r="D178" t="inlineStr">
        <is>
          <t>CAMISAS M/L</t>
        </is>
      </c>
      <c r="E178" t="inlineStr">
        <is>
          <t>MARQUIS HOMBRE</t>
        </is>
      </c>
      <c r="F178" t="n">
        <v>4</v>
      </c>
      <c r="G178" t="n">
        <v>119.99</v>
      </c>
      <c r="H178" t="n">
        <v>99.98999999999999</v>
      </c>
      <c r="I178" t="n">
        <v>30.33</v>
      </c>
      <c r="J178" t="inlineStr">
        <is>
          <t>PV</t>
        </is>
      </c>
      <c r="K178" t="inlineStr">
        <is>
          <t>RANGO 0_3</t>
        </is>
      </c>
      <c r="L178" t="n">
        <v>348</v>
      </c>
      <c r="M178" t="n">
        <v>72</v>
      </c>
      <c r="N178" t="n">
        <v>53</v>
      </c>
      <c r="O178" t="n">
        <v>35</v>
      </c>
      <c r="P178" t="n">
        <v>2</v>
      </c>
      <c r="R178">
        <f>IF(G1207&gt;0,1-H1207/G1207,"")</f>
        <v/>
      </c>
      <c r="S178">
        <f>IF(G1207&gt;0,(G1207/1.18-I1207)/(G1207/1.18),"")</f>
        <v/>
      </c>
      <c r="T178">
        <f>IF(H1207&gt;0,(H1207/1.18-I1207)/(H1207/1.18),"")</f>
        <v/>
      </c>
      <c r="U178" t="inlineStr">
        <is>
          <t>NOOS</t>
        </is>
      </c>
      <c r="V178" t="n">
        <v>11516.7</v>
      </c>
      <c r="W178" t="n">
        <v>6563.53</v>
      </c>
      <c r="X178" t="n">
        <v>0.5699</v>
      </c>
    </row>
    <row r="179">
      <c r="A179" t="inlineStr">
        <is>
          <t>36900747</t>
        </is>
      </c>
      <c r="B179" t="inlineStr">
        <is>
          <t>PRODUCTO D0D651</t>
        </is>
      </c>
      <c r="C179" t="inlineStr">
        <is>
          <t>MARQUIS</t>
        </is>
      </c>
      <c r="D179" t="inlineStr">
        <is>
          <t>CAMISAS M/L</t>
        </is>
      </c>
      <c r="E179" t="inlineStr">
        <is>
          <t>MARQUIS HOMBRE</t>
        </is>
      </c>
      <c r="F179" t="n">
        <v>3</v>
      </c>
      <c r="G179" t="n">
        <v>119.99</v>
      </c>
      <c r="H179" t="n">
        <v>99.98999999999999</v>
      </c>
      <c r="I179" t="n">
        <v>30.31</v>
      </c>
      <c r="J179" t="inlineStr">
        <is>
          <t>PV</t>
        </is>
      </c>
      <c r="K179" t="inlineStr">
        <is>
          <t>RANGO 0_3</t>
        </is>
      </c>
      <c r="L179" t="n">
        <v>212</v>
      </c>
      <c r="M179" t="n">
        <v>107</v>
      </c>
      <c r="N179" t="n">
        <v>49</v>
      </c>
      <c r="O179" t="n">
        <v>59</v>
      </c>
      <c r="P179" t="n">
        <v>2</v>
      </c>
      <c r="R179">
        <f>IF(G1208&gt;0,1-H1208/G1208,"")</f>
        <v/>
      </c>
      <c r="S179">
        <f>IF(G1208&gt;0,(G1208/1.18-I1208)/(G1208/1.18),"")</f>
        <v/>
      </c>
      <c r="T179">
        <f>IF(H1208&gt;0,(H1208/1.18-I1208)/(H1208/1.18),"")</f>
        <v/>
      </c>
      <c r="U179" t="inlineStr">
        <is>
          <t>NOOS</t>
        </is>
      </c>
      <c r="V179" t="n">
        <v>15104.65</v>
      </c>
      <c r="W179" t="n">
        <v>8458.17</v>
      </c>
      <c r="X179" t="n">
        <v>0.5600000000000001</v>
      </c>
    </row>
    <row r="180">
      <c r="A180" t="inlineStr">
        <is>
          <t>36901384</t>
        </is>
      </c>
      <c r="B180" t="inlineStr">
        <is>
          <t>PRODUCTO EAAA16</t>
        </is>
      </c>
      <c r="C180" t="inlineStr">
        <is>
          <t>NAVIGATA</t>
        </is>
      </c>
      <c r="D180" t="inlineStr">
        <is>
          <t>CAMISAS M/L</t>
        </is>
      </c>
      <c r="E180" t="inlineStr">
        <is>
          <t>NAVIGATA HOMBRE</t>
        </is>
      </c>
      <c r="F180" t="n">
        <v>4</v>
      </c>
      <c r="G180" t="n">
        <v>119.99</v>
      </c>
      <c r="H180" t="n">
        <v>99.98999999999999</v>
      </c>
      <c r="I180" t="n">
        <v>26.3</v>
      </c>
      <c r="J180" t="inlineStr">
        <is>
          <t>PV</t>
        </is>
      </c>
      <c r="K180" t="inlineStr">
        <is>
          <t>RANGO 0_3</t>
        </is>
      </c>
      <c r="L180" t="n">
        <v>971</v>
      </c>
      <c r="M180" t="n">
        <v>71</v>
      </c>
      <c r="N180" t="n">
        <v>43</v>
      </c>
      <c r="O180" t="n">
        <v>49</v>
      </c>
      <c r="P180" t="n">
        <v>18</v>
      </c>
      <c r="R180">
        <f>IF(G1210&gt;0,1-H1210/G1210,"")</f>
        <v/>
      </c>
      <c r="S180">
        <f>IF(G1210&gt;0,(G1210/1.18-I1210)/(G1210/1.18),"")</f>
        <v/>
      </c>
      <c r="T180">
        <f>IF(H1210&gt;0,(H1210/1.18-I1210)/(H1210/1.18),"")</f>
        <v/>
      </c>
      <c r="U180" t="inlineStr">
        <is>
          <t>NOOS</t>
        </is>
      </c>
      <c r="V180" t="n">
        <v>13248.27</v>
      </c>
      <c r="W180" t="n">
        <v>8361.82</v>
      </c>
      <c r="X180" t="n">
        <v>0.6312</v>
      </c>
    </row>
    <row r="181">
      <c r="A181" t="inlineStr">
        <is>
          <t>36904295</t>
        </is>
      </c>
      <c r="B181" t="inlineStr">
        <is>
          <t>PRODUCTO 2153C7</t>
        </is>
      </c>
      <c r="C181" t="inlineStr">
        <is>
          <t>US POLO</t>
        </is>
      </c>
      <c r="D181" t="inlineStr">
        <is>
          <t>POLOS M/C</t>
        </is>
      </c>
      <c r="E181" t="inlineStr">
        <is>
          <t>MARCAS CASUAL INTERNACIONAL HOMBRE</t>
        </is>
      </c>
      <c r="F181" t="n">
        <v>1</v>
      </c>
      <c r="G181" t="n">
        <v>189.99</v>
      </c>
      <c r="H181" t="n">
        <v>189.99</v>
      </c>
      <c r="I181" t="n">
        <v>55.59</v>
      </c>
      <c r="J181" t="inlineStr">
        <is>
          <t>PV</t>
        </is>
      </c>
      <c r="K181" t="inlineStr">
        <is>
          <t>RANGO 0_3</t>
        </is>
      </c>
      <c r="L181" t="n">
        <v>684</v>
      </c>
      <c r="M181" t="n">
        <v>0</v>
      </c>
      <c r="N181" t="n">
        <v>0</v>
      </c>
      <c r="O181" t="n">
        <v>0</v>
      </c>
      <c r="P181" t="n">
        <v>0</v>
      </c>
      <c r="R181">
        <f>IF(G1216&gt;0,1-H1216/G1216,"")</f>
        <v/>
      </c>
      <c r="S181">
        <f>IF(G1216&gt;0,(G1216/1.18-I1216)/(G1216/1.18),"")</f>
        <v/>
      </c>
      <c r="T181">
        <f>IF(H1216&gt;0,(H1216/1.18-I1216)/(H1216/1.18),"")</f>
        <v/>
      </c>
      <c r="U181" t="inlineStr">
        <is>
          <t>NOOS</t>
        </is>
      </c>
      <c r="V181" t="n">
        <v>0</v>
      </c>
      <c r="W181" t="n">
        <v>0</v>
      </c>
    </row>
    <row r="182">
      <c r="A182" t="inlineStr">
        <is>
          <t>36904685</t>
        </is>
      </c>
      <c r="B182" t="inlineStr">
        <is>
          <t>PRODUCTO D607EF</t>
        </is>
      </c>
      <c r="C182" t="inlineStr">
        <is>
          <t>US POLO</t>
        </is>
      </c>
      <c r="D182" t="inlineStr">
        <is>
          <t>CAMISAS M/L</t>
        </is>
      </c>
      <c r="E182" t="inlineStr">
        <is>
          <t>MARCAS CASUAL INTERNACIONAL HOMBRE</t>
        </is>
      </c>
      <c r="F182" t="n">
        <v>3</v>
      </c>
      <c r="G182" t="n">
        <v>199.99</v>
      </c>
      <c r="H182" t="n">
        <v>199.99</v>
      </c>
      <c r="I182" t="n">
        <v>54.13</v>
      </c>
      <c r="J182" t="inlineStr">
        <is>
          <t>PV</t>
        </is>
      </c>
      <c r="K182" t="inlineStr">
        <is>
          <t>RANGO 0_3</t>
        </is>
      </c>
      <c r="L182" t="n">
        <v>1112</v>
      </c>
      <c r="M182" t="n">
        <v>12</v>
      </c>
      <c r="N182" t="n">
        <v>0</v>
      </c>
      <c r="O182" t="n">
        <v>0</v>
      </c>
      <c r="P182" t="n">
        <v>0</v>
      </c>
      <c r="R182">
        <f>IF(G1217&gt;0,1-H1217/G1217,"")</f>
        <v/>
      </c>
      <c r="S182">
        <f>IF(G1217&gt;0,(G1217/1.18-I1217)/(G1217/1.18),"")</f>
        <v/>
      </c>
      <c r="T182">
        <f>IF(H1217&gt;0,(H1217/1.18-I1217)/(H1217/1.18),"")</f>
        <v/>
      </c>
      <c r="U182" t="inlineStr">
        <is>
          <t>NOOS</t>
        </is>
      </c>
      <c r="V182" t="n">
        <v>1425.34</v>
      </c>
      <c r="W182" t="n">
        <v>775.78</v>
      </c>
      <c r="X182" t="n">
        <v>0.5443</v>
      </c>
    </row>
    <row r="183">
      <c r="A183" t="inlineStr">
        <is>
          <t>36907317</t>
        </is>
      </c>
      <c r="B183" t="inlineStr">
        <is>
          <t>PRODUCTO 45DEBE</t>
        </is>
      </c>
      <c r="C183" t="inlineStr">
        <is>
          <t>LACOSTE</t>
        </is>
      </c>
      <c r="D183" t="inlineStr">
        <is>
          <t>PANTALONES</t>
        </is>
      </c>
      <c r="E183" t="inlineStr">
        <is>
          <t>MARCAS CASUAL NACIONAL HOMBRE</t>
        </is>
      </c>
      <c r="F183" t="n">
        <v>30</v>
      </c>
      <c r="G183" t="n">
        <v>799.99</v>
      </c>
      <c r="H183" t="n">
        <v>319.99</v>
      </c>
      <c r="I183" t="n">
        <v>237</v>
      </c>
      <c r="J183" t="inlineStr">
        <is>
          <t>OI</t>
        </is>
      </c>
      <c r="K183" t="inlineStr">
        <is>
          <t>RANGO 6_9</t>
        </is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R183">
        <f>IF(G1244&gt;0,1-H1244/G1244,"")</f>
        <v/>
      </c>
      <c r="S183">
        <f>IF(G1244&gt;0,(G1244/1.18-I1244)/(G1244/1.18),"")</f>
        <v/>
      </c>
      <c r="T183">
        <f>IF(H1244&gt;0,(H1244/1.18-I1244)/(H1244/1.18),"")</f>
        <v/>
      </c>
      <c r="U183" t="inlineStr">
        <is>
          <t>NOOS</t>
        </is>
      </c>
      <c r="V183" t="n">
        <v>271.19</v>
      </c>
      <c r="W183" t="n">
        <v>34.19</v>
      </c>
      <c r="X183" t="n">
        <v>0.1261</v>
      </c>
    </row>
    <row r="184">
      <c r="A184" t="inlineStr">
        <is>
          <t>36907376</t>
        </is>
      </c>
      <c r="B184" t="inlineStr">
        <is>
          <t>PRODUCTO 58CDEC</t>
        </is>
      </c>
      <c r="C184" t="inlineStr">
        <is>
          <t>LACOSTE</t>
        </is>
      </c>
      <c r="D184" t="inlineStr">
        <is>
          <t>PANTALONES</t>
        </is>
      </c>
      <c r="E184" t="inlineStr">
        <is>
          <t>MARCAS CASUAL NACIONAL HOMBRE</t>
        </is>
      </c>
      <c r="F184" t="n">
        <v>30</v>
      </c>
      <c r="G184" t="n">
        <v>479.99</v>
      </c>
      <c r="H184" t="n">
        <v>191.99</v>
      </c>
      <c r="I184" t="n">
        <v>122</v>
      </c>
      <c r="J184" t="inlineStr">
        <is>
          <t>OI</t>
        </is>
      </c>
      <c r="K184" t="inlineStr">
        <is>
          <t>RANGO 6_9</t>
        </is>
      </c>
      <c r="L184" t="n">
        <v>0</v>
      </c>
      <c r="M184" t="n">
        <v>4</v>
      </c>
      <c r="N184" t="n">
        <v>3</v>
      </c>
      <c r="O184" t="n">
        <v>4</v>
      </c>
      <c r="P184" t="n">
        <v>3</v>
      </c>
      <c r="R184">
        <f>IF(G1251&gt;0,1-H1251/G1251,"")</f>
        <v/>
      </c>
      <c r="S184">
        <f>IF(G1251&gt;0,(G1251/1.18-I1251)/(G1251/1.18),"")</f>
        <v/>
      </c>
      <c r="T184">
        <f>IF(H1251&gt;0,(H1251/1.18-I1251)/(H1251/1.18),"")</f>
        <v/>
      </c>
      <c r="U184" t="inlineStr">
        <is>
          <t>NOOS</t>
        </is>
      </c>
      <c r="V184" t="n">
        <v>2505.71</v>
      </c>
      <c r="W184" t="n">
        <v>797.71</v>
      </c>
      <c r="X184" t="n">
        <v>0.3184</v>
      </c>
    </row>
    <row r="185">
      <c r="A185" t="inlineStr">
        <is>
          <t>36908647</t>
        </is>
      </c>
      <c r="B185" t="inlineStr">
        <is>
          <t>PRODUCTO 9CAA97</t>
        </is>
      </c>
      <c r="C185" t="inlineStr">
        <is>
          <t>JOHN HOLDEN</t>
        </is>
      </c>
      <c r="D185" t="inlineStr">
        <is>
          <t>ACCESORIOS</t>
        </is>
      </c>
      <c r="E185" t="inlineStr">
        <is>
          <t>MARCAS CASUAL NACIONAL HOMBRE</t>
        </is>
      </c>
      <c r="F185" t="n">
        <v>1</v>
      </c>
      <c r="G185" t="n">
        <v>99.90000000000001</v>
      </c>
      <c r="H185" t="n">
        <v>69.93000000000001</v>
      </c>
      <c r="I185" t="n">
        <v>42.08</v>
      </c>
      <c r="J185" t="inlineStr">
        <is>
          <t>OI</t>
        </is>
      </c>
      <c r="K185" t="inlineStr">
        <is>
          <t>RANGO 0_3</t>
        </is>
      </c>
      <c r="L185" t="n">
        <v>3</v>
      </c>
      <c r="M185" t="n">
        <v>10</v>
      </c>
      <c r="N185" t="n">
        <v>3</v>
      </c>
      <c r="O185" t="n">
        <v>3</v>
      </c>
      <c r="P185" t="n">
        <v>2</v>
      </c>
      <c r="R185">
        <f>IF(G1262&gt;0,1-H1262/G1262,"")</f>
        <v/>
      </c>
      <c r="S185">
        <f>IF(G1262&gt;0,(G1262/1.18-I1262)/(G1262/1.18),"")</f>
        <v/>
      </c>
      <c r="T185">
        <f>IF(H1262&gt;0,(H1262/1.18-I1262)/(H1262/1.18),"")</f>
        <v/>
      </c>
      <c r="U185" t="inlineStr">
        <is>
          <t>NOOS</t>
        </is>
      </c>
      <c r="V185" t="n">
        <v>1095.73</v>
      </c>
      <c r="W185" t="n">
        <v>337.14</v>
      </c>
      <c r="X185" t="n">
        <v>0.3077</v>
      </c>
    </row>
    <row r="186">
      <c r="A186" t="inlineStr">
        <is>
          <t>36908673</t>
        </is>
      </c>
      <c r="B186" t="inlineStr">
        <is>
          <t>PRODUCTO D1AF7A</t>
        </is>
      </c>
      <c r="C186" t="inlineStr">
        <is>
          <t>JOHN HOLDEN</t>
        </is>
      </c>
      <c r="D186" t="inlineStr">
        <is>
          <t>CASACAS</t>
        </is>
      </c>
      <c r="E186" t="inlineStr">
        <is>
          <t>MARCAS CASUAL NACIONAL HOMBRE</t>
        </is>
      </c>
      <c r="F186" t="n">
        <v>29</v>
      </c>
      <c r="G186" t="n">
        <v>179.9</v>
      </c>
      <c r="H186" t="n">
        <v>107.94</v>
      </c>
      <c r="I186" t="n">
        <v>54.45</v>
      </c>
      <c r="J186" t="inlineStr">
        <is>
          <t>OI</t>
        </is>
      </c>
      <c r="K186" t="inlineStr">
        <is>
          <t>RANGO 6_9</t>
        </is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R186">
        <f>IF(G1266&gt;0,1-H1266/G1266,"")</f>
        <v/>
      </c>
      <c r="S186">
        <f>IF(G1266&gt;0,(G1266/1.18-I1266)/(G1266/1.18),"")</f>
        <v/>
      </c>
      <c r="T186">
        <f>IF(H1266&gt;0,(H1266/1.18-I1266)/(H1266/1.18),"")</f>
        <v/>
      </c>
      <c r="U186" t="inlineStr">
        <is>
          <t>NOOS</t>
        </is>
      </c>
      <c r="V186" t="n">
        <v>91.44</v>
      </c>
      <c r="W186" t="n">
        <v>36.99</v>
      </c>
      <c r="X186" t="n">
        <v>0.4045</v>
      </c>
    </row>
    <row r="187">
      <c r="A187" t="inlineStr">
        <is>
          <t>36933597</t>
        </is>
      </c>
      <c r="B187" t="inlineStr">
        <is>
          <t>PRODUCTO 09C2CB</t>
        </is>
      </c>
      <c r="C187" t="inlineStr">
        <is>
          <t>OSCAR DE LA RENTA</t>
        </is>
      </c>
      <c r="D187" t="inlineStr">
        <is>
          <t>CHOMPAS</t>
        </is>
      </c>
      <c r="E187" t="inlineStr">
        <is>
          <t>MARCAS CASUAL INTERNACIONAL HOMBRE</t>
        </is>
      </c>
      <c r="F187" t="n">
        <v>23</v>
      </c>
      <c r="G187" t="n">
        <v>269.99</v>
      </c>
      <c r="H187" t="n">
        <v>109.99</v>
      </c>
      <c r="I187" t="n">
        <v>98.88</v>
      </c>
      <c r="J187" t="inlineStr">
        <is>
          <t>OI</t>
        </is>
      </c>
      <c r="K187" t="inlineStr">
        <is>
          <t>RANGO 3_6</t>
        </is>
      </c>
      <c r="L187" t="n">
        <v>1</v>
      </c>
      <c r="M187" t="n">
        <v>5</v>
      </c>
      <c r="N187" t="n">
        <v>1</v>
      </c>
      <c r="O187" t="n">
        <v>1</v>
      </c>
      <c r="P187" t="n">
        <v>0</v>
      </c>
      <c r="R187">
        <f>IF(G1280&gt;0,1-H1280/G1280,"")</f>
        <v/>
      </c>
      <c r="S187">
        <f>IF(G1280&gt;0,(G1280/1.18-I1280)/(G1280/1.18),"")</f>
        <v/>
      </c>
      <c r="T187">
        <f>IF(H1280&gt;0,(H1280/1.18-I1280)/(H1280/1.18),"")</f>
        <v/>
      </c>
      <c r="U187" t="inlineStr">
        <is>
          <t>NOOS</t>
        </is>
      </c>
      <c r="V187" t="n">
        <v>670.3099999999999</v>
      </c>
      <c r="W187" t="n">
        <v>-24.38</v>
      </c>
      <c r="X187" t="n">
        <v>-0.0364</v>
      </c>
    </row>
    <row r="188">
      <c r="A188" t="inlineStr">
        <is>
          <t>36933602</t>
        </is>
      </c>
      <c r="B188" t="inlineStr">
        <is>
          <t>PRODUCTO 287BBB</t>
        </is>
      </c>
      <c r="C188" t="inlineStr">
        <is>
          <t>OSCAR DE LA RENTA</t>
        </is>
      </c>
      <c r="D188" t="inlineStr">
        <is>
          <t>CAMISAS M/L</t>
        </is>
      </c>
      <c r="E188" t="inlineStr">
        <is>
          <t>MARCAS CASUAL INTERNACIONAL HOMBRE</t>
        </is>
      </c>
      <c r="F188" t="n">
        <v>23</v>
      </c>
      <c r="G188" t="n">
        <v>199.99</v>
      </c>
      <c r="H188" t="n">
        <v>99.98999999999999</v>
      </c>
      <c r="I188" t="n">
        <v>60.67</v>
      </c>
      <c r="J188" t="inlineStr">
        <is>
          <t>OI</t>
        </is>
      </c>
      <c r="K188" t="inlineStr">
        <is>
          <t>RANGO 3_6</t>
        </is>
      </c>
      <c r="L188" t="n">
        <v>0</v>
      </c>
      <c r="M188" t="n">
        <v>16</v>
      </c>
      <c r="N188" t="n">
        <v>9</v>
      </c>
      <c r="O188" t="n">
        <v>9</v>
      </c>
      <c r="P188" t="n">
        <v>7</v>
      </c>
      <c r="R188">
        <f>IF(G1281&gt;0,1-H1281/G1281,"")</f>
        <v/>
      </c>
      <c r="S188">
        <f>IF(G1281&gt;0,(G1281/1.18-I1281)/(G1281/1.18),"")</f>
        <v/>
      </c>
      <c r="T188">
        <f>IF(H1281&gt;0,(H1281/1.18-I1281)/(H1281/1.18),"")</f>
        <v/>
      </c>
      <c r="U188" t="inlineStr">
        <is>
          <t>NOOS</t>
        </is>
      </c>
      <c r="V188" t="n">
        <v>3666.17</v>
      </c>
      <c r="W188" t="n">
        <v>1178.7</v>
      </c>
      <c r="X188" t="n">
        <v>0.3215</v>
      </c>
    </row>
    <row r="189">
      <c r="A189" t="inlineStr">
        <is>
          <t>36933635</t>
        </is>
      </c>
      <c r="B189" t="inlineStr">
        <is>
          <t>PRODUCTO 59F781</t>
        </is>
      </c>
      <c r="C189" t="inlineStr">
        <is>
          <t>OSCAR DE LA RENTA</t>
        </is>
      </c>
      <c r="D189" t="inlineStr">
        <is>
          <t>POLOS M/C</t>
        </is>
      </c>
      <c r="E189" t="inlineStr">
        <is>
          <t>MARCAS CASUAL INTERNACIONAL HOMBRE</t>
        </is>
      </c>
      <c r="F189" t="n">
        <v>23</v>
      </c>
      <c r="G189" t="n">
        <v>189.99</v>
      </c>
      <c r="H189" t="n">
        <v>114</v>
      </c>
      <c r="I189" t="n">
        <v>66.36</v>
      </c>
      <c r="J189" t="inlineStr">
        <is>
          <t>OI</t>
        </is>
      </c>
      <c r="K189" t="inlineStr">
        <is>
          <t>RANGO 3_6</t>
        </is>
      </c>
      <c r="L189" t="n">
        <v>0</v>
      </c>
      <c r="M189" t="n">
        <v>5</v>
      </c>
      <c r="N189" t="n">
        <v>1</v>
      </c>
      <c r="O189" t="n">
        <v>2</v>
      </c>
      <c r="P189" t="n">
        <v>1</v>
      </c>
      <c r="R189">
        <f>IF(G1286&gt;0,1-H1286/G1286,"")</f>
        <v/>
      </c>
      <c r="S189">
        <f>IF(G1286&gt;0,(G1286/1.18-I1286)/(G1286/1.18),"")</f>
        <v/>
      </c>
      <c r="T189">
        <f>IF(H1286&gt;0,(H1286/1.18-I1286)/(H1286/1.18),"")</f>
        <v/>
      </c>
      <c r="U189" t="inlineStr">
        <is>
          <t>NOOS</t>
        </is>
      </c>
      <c r="V189" t="n">
        <v>867.25</v>
      </c>
      <c r="W189" t="n">
        <v>270.01</v>
      </c>
      <c r="X189" t="n">
        <v>0.3113</v>
      </c>
    </row>
    <row r="190">
      <c r="A190" t="inlineStr">
        <is>
          <t>36985038</t>
        </is>
      </c>
      <c r="B190" t="inlineStr">
        <is>
          <t>PRODUCTO 17FC1F</t>
        </is>
      </c>
      <c r="C190" t="inlineStr">
        <is>
          <t>JOHN HOLDEN</t>
        </is>
      </c>
      <c r="D190" t="inlineStr">
        <is>
          <t>CAMISAS M/L</t>
        </is>
      </c>
      <c r="E190" t="inlineStr">
        <is>
          <t>MARCAS CASUAL NACIONAL HOMBRE</t>
        </is>
      </c>
      <c r="F190" t="n">
        <v>22</v>
      </c>
      <c r="G190" t="n">
        <v>189.9</v>
      </c>
      <c r="H190" t="n">
        <v>113.94</v>
      </c>
      <c r="I190" t="n">
        <v>51.91</v>
      </c>
      <c r="J190" t="inlineStr">
        <is>
          <t>OI</t>
        </is>
      </c>
      <c r="K190" t="inlineStr">
        <is>
          <t>RANGO 3_6</t>
        </is>
      </c>
      <c r="L190" t="n">
        <v>50</v>
      </c>
      <c r="M190" t="n">
        <v>0</v>
      </c>
      <c r="N190" t="n">
        <v>0</v>
      </c>
      <c r="O190" t="n">
        <v>0</v>
      </c>
      <c r="P190" t="n">
        <v>1</v>
      </c>
      <c r="R190">
        <f>IF(G1298&gt;0,1-H1298/G1298,"")</f>
        <v/>
      </c>
      <c r="S190">
        <f>IF(G1298&gt;0,(G1298/1.18-I1298)/(G1298/1.18),"")</f>
        <v/>
      </c>
      <c r="T190">
        <f>IF(H1298&gt;0,(H1298/1.18-I1298)/(H1298/1.18),"")</f>
        <v/>
      </c>
      <c r="U190" t="inlineStr">
        <is>
          <t>NOOS</t>
        </is>
      </c>
      <c r="V190" t="n">
        <v>96.54000000000001</v>
      </c>
      <c r="W190" t="n">
        <v>44.63</v>
      </c>
      <c r="X190" t="n">
        <v>0.4623</v>
      </c>
    </row>
    <row r="191">
      <c r="A191" t="inlineStr">
        <is>
          <t>36985048</t>
        </is>
      </c>
      <c r="B191" t="inlineStr">
        <is>
          <t>PRODUCTO 50A877</t>
        </is>
      </c>
      <c r="C191" t="inlineStr">
        <is>
          <t>JOHN HOLDEN</t>
        </is>
      </c>
      <c r="D191" t="inlineStr">
        <is>
          <t>CHOMPAS</t>
        </is>
      </c>
      <c r="E191" t="inlineStr">
        <is>
          <t>MARCAS CASUAL NACIONAL HOMBRE</t>
        </is>
      </c>
      <c r="F191" t="n">
        <v>16</v>
      </c>
      <c r="G191" t="n">
        <v>149.9</v>
      </c>
      <c r="H191" t="n">
        <v>74.95</v>
      </c>
      <c r="I191" t="n">
        <v>70.41</v>
      </c>
      <c r="J191" t="inlineStr">
        <is>
          <t>OI</t>
        </is>
      </c>
      <c r="K191" t="inlineStr">
        <is>
          <t>RANGO 3_6</t>
        </is>
      </c>
      <c r="L191" t="n">
        <v>1</v>
      </c>
      <c r="M191" t="n">
        <v>1</v>
      </c>
      <c r="N191" t="n">
        <v>5</v>
      </c>
      <c r="O191" t="n">
        <v>6</v>
      </c>
      <c r="P191" t="n">
        <v>5</v>
      </c>
      <c r="R191">
        <f>IF(G1300&gt;0,1-H1300/G1300,"")</f>
        <v/>
      </c>
      <c r="S191">
        <f>IF(G1300&gt;0,(G1300/1.18-I1300)/(G1300/1.18),"")</f>
        <v/>
      </c>
      <c r="T191">
        <f>IF(H1300&gt;0,(H1300/1.18-I1300)/(H1300/1.18),"")</f>
        <v/>
      </c>
      <c r="U191" t="inlineStr">
        <is>
          <t>NOOS</t>
        </is>
      </c>
      <c r="V191" t="n">
        <v>1041.63</v>
      </c>
      <c r="W191" t="n">
        <v>-155.88</v>
      </c>
      <c r="X191" t="n">
        <v>-0.1497</v>
      </c>
    </row>
    <row r="192">
      <c r="A192" t="inlineStr">
        <is>
          <t>36985057</t>
        </is>
      </c>
      <c r="B192" t="inlineStr">
        <is>
          <t>PRODUCTO 95F0BD</t>
        </is>
      </c>
      <c r="C192" t="inlineStr">
        <is>
          <t>JOHN HOLDEN</t>
        </is>
      </c>
      <c r="D192" t="inlineStr">
        <is>
          <t>CHOMPAS</t>
        </is>
      </c>
      <c r="E192" t="inlineStr">
        <is>
          <t>MARCAS CASUAL NACIONAL HOMBRE</t>
        </is>
      </c>
      <c r="F192" t="n">
        <v>12</v>
      </c>
      <c r="G192" t="n">
        <v>169.9</v>
      </c>
      <c r="H192" t="n">
        <v>74.95</v>
      </c>
      <c r="I192" t="n">
        <v>76.01000000000001</v>
      </c>
      <c r="J192" t="inlineStr">
        <is>
          <t>OI</t>
        </is>
      </c>
      <c r="K192" t="inlineStr">
        <is>
          <t>RANGO 0_3</t>
        </is>
      </c>
      <c r="L192" t="n">
        <v>0</v>
      </c>
      <c r="M192" t="n">
        <v>0</v>
      </c>
      <c r="N192" t="n">
        <v>3</v>
      </c>
      <c r="O192" t="n">
        <v>5</v>
      </c>
      <c r="P192" t="n">
        <v>3</v>
      </c>
      <c r="R192">
        <f>IF(G1301&gt;0,1-H1301/G1301,"")</f>
        <v/>
      </c>
      <c r="S192">
        <f>IF(G1301&gt;0,(G1301/1.18-I1301)/(G1301/1.18),"")</f>
        <v/>
      </c>
      <c r="T192">
        <f>IF(H1301&gt;0,(H1301/1.18-I1301)/(H1301/1.18),"")</f>
        <v/>
      </c>
      <c r="U192" t="inlineStr">
        <is>
          <t>NOOS</t>
        </is>
      </c>
      <c r="V192" t="n">
        <v>698.67</v>
      </c>
      <c r="W192" t="n">
        <v>-137.66</v>
      </c>
      <c r="X192" t="n">
        <v>-0.197</v>
      </c>
    </row>
    <row r="193">
      <c r="A193" t="inlineStr">
        <is>
          <t>36994505</t>
        </is>
      </c>
      <c r="B193" t="inlineStr">
        <is>
          <t>PRODUCTO FCA05C</t>
        </is>
      </c>
      <c r="C193" t="inlineStr">
        <is>
          <t>SPAVALDI</t>
        </is>
      </c>
      <c r="D193" t="inlineStr">
        <is>
          <t>POLOS M/C</t>
        </is>
      </c>
      <c r="E193" t="inlineStr">
        <is>
          <t>MARCAS CASUAL INTERNACIONAL HOMBRE</t>
        </is>
      </c>
      <c r="F193" t="n">
        <v>7</v>
      </c>
      <c r="G193" t="n">
        <v>169.99</v>
      </c>
      <c r="H193" t="n">
        <v>169.99</v>
      </c>
      <c r="I193" t="n">
        <v>24.99</v>
      </c>
      <c r="J193" t="inlineStr">
        <is>
          <t>PV</t>
        </is>
      </c>
      <c r="K193" t="inlineStr">
        <is>
          <t>RANGO 0_3</t>
        </is>
      </c>
      <c r="L193" t="n">
        <v>104</v>
      </c>
      <c r="M193" t="n">
        <v>26</v>
      </c>
      <c r="N193" t="n">
        <v>20</v>
      </c>
      <c r="O193" t="n">
        <v>34</v>
      </c>
      <c r="P193" t="n">
        <v>31</v>
      </c>
      <c r="R193">
        <f>IF(G1312&gt;0,1-H1312/G1312,"")</f>
        <v/>
      </c>
      <c r="S193">
        <f>IF(G1312&gt;0,(G1312/1.18-I1312)/(G1312/1.18),"")</f>
        <v/>
      </c>
      <c r="T193">
        <f>IF(H1312&gt;0,(H1312/1.18-I1312)/(H1312/1.18),"")</f>
        <v/>
      </c>
      <c r="U193" t="inlineStr">
        <is>
          <t>NOOS</t>
        </is>
      </c>
      <c r="V193" t="n">
        <v>6517.97</v>
      </c>
      <c r="W193" t="n">
        <v>3740.52</v>
      </c>
      <c r="X193" t="n">
        <v>0.5739</v>
      </c>
    </row>
    <row r="194">
      <c r="A194" t="inlineStr">
        <is>
          <t>37003577</t>
        </is>
      </c>
      <c r="B194" t="inlineStr">
        <is>
          <t>PRODUCTO 5CE6E8</t>
        </is>
      </c>
      <c r="C194" t="inlineStr">
        <is>
          <t>PIERRE CARDIN</t>
        </is>
      </c>
      <c r="D194" t="inlineStr">
        <is>
          <t>CAMISAS M/L</t>
        </is>
      </c>
      <c r="E194" t="inlineStr">
        <is>
          <t>MARCAS CASUAL NACIONAL HOMBRE</t>
        </is>
      </c>
      <c r="F194" t="n">
        <v>4</v>
      </c>
      <c r="G194" t="n">
        <v>249</v>
      </c>
      <c r="H194" t="n">
        <v>99</v>
      </c>
      <c r="I194" t="n">
        <v>137.16</v>
      </c>
      <c r="J194" t="inlineStr">
        <is>
          <t>OI</t>
        </is>
      </c>
      <c r="K194" t="inlineStr">
        <is>
          <t>RANGO 0_3</t>
        </is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R194">
        <f>IF(G1323&gt;0,1-H1323/G1323,"")</f>
        <v/>
      </c>
      <c r="S194">
        <f>IF(G1323&gt;0,(G1323/1.18-I1323)/(G1323/1.18),"")</f>
        <v/>
      </c>
      <c r="T194">
        <f>IF(H1323&gt;0,(H1323/1.18-I1323)/(H1323/1.18),"")</f>
        <v/>
      </c>
      <c r="U194" t="inlineStr">
        <is>
          <t>NOOS</t>
        </is>
      </c>
      <c r="V194" t="n">
        <v>167.8</v>
      </c>
      <c r="W194" t="n">
        <v>58.74</v>
      </c>
      <c r="X194" t="n">
        <v>0.3501</v>
      </c>
    </row>
    <row r="195">
      <c r="A195" t="inlineStr">
        <is>
          <t>37004704</t>
        </is>
      </c>
      <c r="B195" t="inlineStr">
        <is>
          <t>PRODUCTO BB31A0</t>
        </is>
      </c>
      <c r="C195" t="inlineStr">
        <is>
          <t>PIERRE CARDIN</t>
        </is>
      </c>
      <c r="D195" t="inlineStr">
        <is>
          <t>CAMISAS M/L</t>
        </is>
      </c>
      <c r="E195" t="inlineStr">
        <is>
          <t>MARCAS CASUAL NACIONAL HOMBRE</t>
        </is>
      </c>
      <c r="F195" t="n">
        <v>6</v>
      </c>
      <c r="G195" t="n">
        <v>249</v>
      </c>
      <c r="H195" t="n">
        <v>99</v>
      </c>
      <c r="I195" t="n">
        <v>137.16</v>
      </c>
      <c r="J195" t="inlineStr">
        <is>
          <t>OI</t>
        </is>
      </c>
      <c r="K195" t="inlineStr">
        <is>
          <t>RANGO 0_3</t>
        </is>
      </c>
      <c r="L195" t="n">
        <v>0</v>
      </c>
      <c r="M195" t="n">
        <v>6</v>
      </c>
      <c r="N195" t="n">
        <v>3</v>
      </c>
      <c r="O195" t="n">
        <v>4</v>
      </c>
      <c r="P195" t="n">
        <v>3</v>
      </c>
      <c r="R195">
        <f>IF(G1335&gt;0,1-H1335/G1335,"")</f>
        <v/>
      </c>
      <c r="S195">
        <f>IF(G1335&gt;0,(G1335/1.18-I1335)/(G1335/1.18),"")</f>
        <v/>
      </c>
      <c r="T195">
        <f>IF(H1335&gt;0,(H1335/1.18-I1335)/(H1335/1.18),"")</f>
        <v/>
      </c>
      <c r="U195" t="inlineStr">
        <is>
          <t>NOOS</t>
        </is>
      </c>
      <c r="V195" t="n">
        <v>1390.45</v>
      </c>
      <c r="W195" t="n">
        <v>486.72</v>
      </c>
      <c r="X195" t="n">
        <v>0.35</v>
      </c>
    </row>
    <row r="196">
      <c r="A196" t="inlineStr">
        <is>
          <t>37004919</t>
        </is>
      </c>
      <c r="B196" t="inlineStr">
        <is>
          <t>PRODUCTO BBF137</t>
        </is>
      </c>
      <c r="C196" t="inlineStr">
        <is>
          <t>PIERRE CARDIN</t>
        </is>
      </c>
      <c r="D196" t="inlineStr">
        <is>
          <t>CAMISAS M/L</t>
        </is>
      </c>
      <c r="E196" t="inlineStr">
        <is>
          <t>MARCAS CASUAL NACIONAL HOMBRE</t>
        </is>
      </c>
      <c r="F196" t="n">
        <v>4</v>
      </c>
      <c r="G196" t="n">
        <v>249</v>
      </c>
      <c r="H196" t="n">
        <v>99</v>
      </c>
      <c r="I196" t="n">
        <v>137.16</v>
      </c>
      <c r="J196" t="inlineStr">
        <is>
          <t>OI</t>
        </is>
      </c>
      <c r="K196" t="inlineStr">
        <is>
          <t>RANGO 0_3</t>
        </is>
      </c>
      <c r="L196" t="n">
        <v>0</v>
      </c>
      <c r="M196" t="n">
        <v>1</v>
      </c>
      <c r="N196" t="n">
        <v>2</v>
      </c>
      <c r="O196" t="n">
        <v>0</v>
      </c>
      <c r="P196" t="n">
        <v>0</v>
      </c>
      <c r="R196">
        <f>IF(G1344&gt;0,1-H1344/G1344,"")</f>
        <v/>
      </c>
      <c r="S196">
        <f>IF(G1344&gt;0,(G1344/1.18-I1344)/(G1344/1.18),"")</f>
        <v/>
      </c>
      <c r="T196">
        <f>IF(H1344&gt;0,(H1344/1.18-I1344)/(H1344/1.18),"")</f>
        <v/>
      </c>
      <c r="U196" t="inlineStr">
        <is>
          <t>NOOS</t>
        </is>
      </c>
      <c r="V196" t="n">
        <v>251.7</v>
      </c>
      <c r="W196" t="n">
        <v>88.11</v>
      </c>
      <c r="X196" t="n">
        <v>0.3501</v>
      </c>
    </row>
    <row r="197">
      <c r="A197" t="inlineStr">
        <is>
          <t>37010818</t>
        </is>
      </c>
      <c r="B197" t="inlineStr">
        <is>
          <t>PRODUCTO CC970F</t>
        </is>
      </c>
      <c r="C197" t="inlineStr">
        <is>
          <t>NAVIGATA</t>
        </is>
      </c>
      <c r="D197" t="inlineStr">
        <is>
          <t>POLOS M/C</t>
        </is>
      </c>
      <c r="E197" t="inlineStr">
        <is>
          <t>NAVIGATA HOMBRE</t>
        </is>
      </c>
      <c r="F197" t="n">
        <v>26</v>
      </c>
      <c r="G197" t="n">
        <v>89.98999999999999</v>
      </c>
      <c r="H197" t="n">
        <v>29.99</v>
      </c>
      <c r="I197" t="n">
        <v>23.7</v>
      </c>
      <c r="J197" t="inlineStr">
        <is>
          <t>OI</t>
        </is>
      </c>
      <c r="K197" t="inlineStr">
        <is>
          <t>RANGO 6_9</t>
        </is>
      </c>
      <c r="L197" t="n">
        <v>0</v>
      </c>
      <c r="M197" t="n">
        <v>18</v>
      </c>
      <c r="N197" t="n">
        <v>21</v>
      </c>
      <c r="O197" t="n">
        <v>21</v>
      </c>
      <c r="P197" t="n">
        <v>48</v>
      </c>
      <c r="R197">
        <f>IF(G1347&gt;0,1-H1347/G1347,"")</f>
        <v/>
      </c>
      <c r="S197">
        <f>IF(G1347&gt;0,(G1347/1.18-I1347)/(G1347/1.18),"")</f>
        <v/>
      </c>
      <c r="T197">
        <f>IF(H1347&gt;0,(H1347/1.18-I1347)/(H1347/1.18),"")</f>
        <v/>
      </c>
      <c r="U197" t="inlineStr">
        <is>
          <t>NOOS</t>
        </is>
      </c>
      <c r="V197" t="n">
        <v>2542.99</v>
      </c>
      <c r="W197" t="n">
        <v>-16.61</v>
      </c>
      <c r="X197" t="n">
        <v>-0.0065</v>
      </c>
    </row>
    <row r="198">
      <c r="A198" t="inlineStr">
        <is>
          <t>37011331</t>
        </is>
      </c>
      <c r="B198" t="inlineStr">
        <is>
          <t>PRODUCTO E4B202</t>
        </is>
      </c>
      <c r="C198" t="inlineStr">
        <is>
          <t>SPAVALDI</t>
        </is>
      </c>
      <c r="D198" t="inlineStr">
        <is>
          <t>CASACAS</t>
        </is>
      </c>
      <c r="E198" t="inlineStr">
        <is>
          <t>MARCAS CASUAL INTERNACIONAL HOMBRE</t>
        </is>
      </c>
      <c r="F198" t="n">
        <v>7</v>
      </c>
      <c r="G198" t="n">
        <v>249.99</v>
      </c>
      <c r="H198" t="n">
        <v>125</v>
      </c>
      <c r="I198" t="n">
        <v>72.65000000000001</v>
      </c>
      <c r="J198" t="inlineStr">
        <is>
          <t>PV</t>
        </is>
      </c>
      <c r="K198" t="inlineStr">
        <is>
          <t>RANGO 0_3</t>
        </is>
      </c>
      <c r="L198" t="n">
        <v>6</v>
      </c>
      <c r="M198" t="n">
        <v>10</v>
      </c>
      <c r="N198" t="n">
        <v>8</v>
      </c>
      <c r="O198" t="n">
        <v>4</v>
      </c>
      <c r="P198" t="n">
        <v>9</v>
      </c>
      <c r="R198">
        <f>IF(G1354&gt;0,1-H1354/G1354,"")</f>
        <v/>
      </c>
      <c r="S198">
        <f>IF(G1354&gt;0,(G1354/1.18-I1354)/(G1354/1.18),"")</f>
        <v/>
      </c>
      <c r="T198">
        <f>IF(H1354&gt;0,(H1354/1.18-I1354)/(H1354/1.18),"")</f>
        <v/>
      </c>
      <c r="U198" t="inlineStr">
        <is>
          <t>NOOS</t>
        </is>
      </c>
      <c r="V198" t="n">
        <v>2954.16</v>
      </c>
      <c r="W198" t="n">
        <v>702.13</v>
      </c>
      <c r="X198" t="n">
        <v>0.2377</v>
      </c>
    </row>
    <row r="199">
      <c r="A199" t="inlineStr">
        <is>
          <t>37011336</t>
        </is>
      </c>
      <c r="B199" t="inlineStr">
        <is>
          <t>PRODUCTO 655101</t>
        </is>
      </c>
      <c r="C199" t="inlineStr">
        <is>
          <t>SPAVALDI</t>
        </is>
      </c>
      <c r="D199" t="inlineStr">
        <is>
          <t>CASACAS</t>
        </is>
      </c>
      <c r="E199" t="inlineStr">
        <is>
          <t>MARCAS CASUAL INTERNACIONAL HOMBRE</t>
        </is>
      </c>
      <c r="F199" t="n">
        <v>4</v>
      </c>
      <c r="G199" t="n">
        <v>249.99</v>
      </c>
      <c r="H199" t="n">
        <v>169.99</v>
      </c>
      <c r="I199" t="n">
        <v>97.26000000000001</v>
      </c>
      <c r="J199" t="inlineStr">
        <is>
          <t>PV</t>
        </is>
      </c>
      <c r="K199" t="inlineStr">
        <is>
          <t>RANGO 0_3</t>
        </is>
      </c>
      <c r="L199" t="n">
        <v>48</v>
      </c>
      <c r="M199" t="n">
        <v>7</v>
      </c>
      <c r="N199" t="n">
        <v>8</v>
      </c>
      <c r="O199" t="n">
        <v>3</v>
      </c>
      <c r="P199" t="n">
        <v>1</v>
      </c>
      <c r="R199">
        <f>IF(G1355&gt;0,1-H1355/G1355,"")</f>
        <v/>
      </c>
      <c r="S199">
        <f>IF(G1355&gt;0,(G1355/1.18-I1355)/(G1355/1.18),"")</f>
        <v/>
      </c>
      <c r="T199">
        <f>IF(H1355&gt;0,(H1355/1.18-I1355)/(H1355/1.18),"")</f>
        <v/>
      </c>
      <c r="U199" t="inlineStr">
        <is>
          <t>NOOS</t>
        </is>
      </c>
      <c r="V199" t="n">
        <v>2207.06</v>
      </c>
      <c r="W199" t="n">
        <v>465.85</v>
      </c>
      <c r="X199" t="n">
        <v>0.2111</v>
      </c>
    </row>
    <row r="200">
      <c r="A200" t="inlineStr">
        <is>
          <t>37011535</t>
        </is>
      </c>
      <c r="B200" t="inlineStr">
        <is>
          <t>PRODUCTO D93874</t>
        </is>
      </c>
      <c r="C200" t="inlineStr">
        <is>
          <t>SPAVALDI</t>
        </is>
      </c>
      <c r="D200" t="inlineStr">
        <is>
          <t>PANTALONES</t>
        </is>
      </c>
      <c r="E200" t="inlineStr">
        <is>
          <t>MARCAS CASUAL INTERNACIONAL HOMBRE</t>
        </is>
      </c>
      <c r="F200" t="n">
        <v>8</v>
      </c>
      <c r="G200" t="n">
        <v>169.99</v>
      </c>
      <c r="H200" t="n">
        <v>169.99</v>
      </c>
      <c r="I200" t="n">
        <v>60.96</v>
      </c>
      <c r="J200" t="inlineStr">
        <is>
          <t>TT</t>
        </is>
      </c>
      <c r="K200" t="inlineStr">
        <is>
          <t>RANGO 0_3</t>
        </is>
      </c>
      <c r="L200" t="n">
        <v>36</v>
      </c>
      <c r="M200" t="n">
        <v>21</v>
      </c>
      <c r="N200" t="n">
        <v>9</v>
      </c>
      <c r="O200" t="n">
        <v>18</v>
      </c>
      <c r="P200" t="n">
        <v>12</v>
      </c>
      <c r="R200">
        <f>IF(G1360&gt;0,1-H1360/G1360,"")</f>
        <v/>
      </c>
      <c r="S200">
        <f>IF(G1360&gt;0,(G1360/1.18-I1360)/(G1360/1.18),"")</f>
        <v/>
      </c>
      <c r="T200">
        <f>IF(H1360&gt;0,(H1360/1.18-I1360)/(H1360/1.18),"")</f>
        <v/>
      </c>
      <c r="U200" t="inlineStr">
        <is>
          <t>NOOS</t>
        </is>
      </c>
      <c r="V200" t="n">
        <v>8562.870000000001</v>
      </c>
      <c r="W200" t="n">
        <v>4898.1</v>
      </c>
      <c r="X200" t="n">
        <v>0.572</v>
      </c>
    </row>
    <row r="201">
      <c r="A201" t="inlineStr">
        <is>
          <t>37017295</t>
        </is>
      </c>
      <c r="B201" t="inlineStr">
        <is>
          <t>PRODUCTO EFB6EF</t>
        </is>
      </c>
      <c r="C201" t="inlineStr">
        <is>
          <t>PIERRE CARDIN</t>
        </is>
      </c>
      <c r="D201" t="inlineStr">
        <is>
          <t>CAMISAS M/L</t>
        </is>
      </c>
      <c r="E201" t="inlineStr">
        <is>
          <t>MARCAS CASUAL NACIONAL HOMBRE</t>
        </is>
      </c>
      <c r="F201" t="n">
        <v>4</v>
      </c>
      <c r="G201" t="n">
        <v>289</v>
      </c>
      <c r="H201" t="n">
        <v>99</v>
      </c>
      <c r="I201" t="n">
        <v>159.19</v>
      </c>
      <c r="J201" t="inlineStr">
        <is>
          <t>PV</t>
        </is>
      </c>
      <c r="K201" t="inlineStr">
        <is>
          <t>RANGO 0_3</t>
        </is>
      </c>
      <c r="L201" t="n">
        <v>0</v>
      </c>
      <c r="M201" t="n">
        <v>17</v>
      </c>
      <c r="N201" t="n">
        <v>3</v>
      </c>
      <c r="O201" t="n">
        <v>12</v>
      </c>
      <c r="P201" t="n">
        <v>6</v>
      </c>
      <c r="R201">
        <f>IF(G1365&gt;0,1-H1365/G1365,"")</f>
        <v/>
      </c>
      <c r="S201">
        <f>IF(G1365&gt;0,(G1365/1.18-I1365)/(G1365/1.18),"")</f>
        <v/>
      </c>
      <c r="T201">
        <f>IF(H1365&gt;0,(H1365/1.18-I1365)/(H1365/1.18),"")</f>
        <v/>
      </c>
      <c r="U201" t="inlineStr">
        <is>
          <t>NOOS</t>
        </is>
      </c>
      <c r="V201" t="n">
        <v>3510.75</v>
      </c>
      <c r="W201" t="n">
        <v>1228.9</v>
      </c>
      <c r="X201" t="n">
        <v>0.35</v>
      </c>
    </row>
    <row r="202">
      <c r="A202" t="inlineStr">
        <is>
          <t>37017350</t>
        </is>
      </c>
      <c r="B202" t="inlineStr">
        <is>
          <t>PRODUCTO DC6F81</t>
        </is>
      </c>
      <c r="C202" t="inlineStr">
        <is>
          <t>PIERRE CARDIN</t>
        </is>
      </c>
      <c r="D202" t="inlineStr">
        <is>
          <t>CAMISAS M/L</t>
        </is>
      </c>
      <c r="E202" t="inlineStr">
        <is>
          <t>MARCAS CASUAL NACIONAL HOMBRE</t>
        </is>
      </c>
      <c r="F202" t="n">
        <v>6</v>
      </c>
      <c r="G202" t="n">
        <v>289</v>
      </c>
      <c r="H202" t="n">
        <v>99</v>
      </c>
      <c r="I202" t="n">
        <v>159.19</v>
      </c>
      <c r="J202" t="inlineStr">
        <is>
          <t>PV</t>
        </is>
      </c>
      <c r="K202" t="inlineStr">
        <is>
          <t>RANGO 0_3</t>
        </is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R202">
        <f>IF(G1366&gt;0,1-H1366/G1366,"")</f>
        <v/>
      </c>
      <c r="S202">
        <f>IF(G1366&gt;0,(G1366/1.18-I1366)/(G1366/1.18),"")</f>
        <v/>
      </c>
      <c r="T202">
        <f>IF(H1366&gt;0,(H1366/1.18-I1366)/(H1366/1.18),"")</f>
        <v/>
      </c>
      <c r="U202" t="inlineStr">
        <is>
          <t>NOOS</t>
        </is>
      </c>
      <c r="V202" t="n">
        <v>167.8</v>
      </c>
      <c r="W202" t="n">
        <v>58.74</v>
      </c>
      <c r="X202" t="n">
        <v>0.3501</v>
      </c>
    </row>
    <row r="203">
      <c r="A203" t="inlineStr">
        <is>
          <t>37018153</t>
        </is>
      </c>
      <c r="B203" t="inlineStr">
        <is>
          <t>PRODUCTO F45A11</t>
        </is>
      </c>
      <c r="C203" t="inlineStr">
        <is>
          <t>JOHN HOLDEN</t>
        </is>
      </c>
      <c r="D203" t="inlineStr">
        <is>
          <t>CAMISAS M/L</t>
        </is>
      </c>
      <c r="E203" t="inlineStr">
        <is>
          <t>MARCAS CASUAL NACIONAL HOMBRE</t>
        </is>
      </c>
      <c r="F203" t="n">
        <v>12</v>
      </c>
      <c r="G203" t="n">
        <v>189.9</v>
      </c>
      <c r="H203" t="n">
        <v>113.94</v>
      </c>
      <c r="I203" t="n">
        <v>84.7</v>
      </c>
      <c r="J203" t="inlineStr">
        <is>
          <t>OI</t>
        </is>
      </c>
      <c r="K203" t="inlineStr">
        <is>
          <t>RANGO 0_3</t>
        </is>
      </c>
      <c r="L203" t="n">
        <v>8</v>
      </c>
      <c r="M203" t="n">
        <v>8</v>
      </c>
      <c r="N203" t="n">
        <v>5</v>
      </c>
      <c r="O203" t="n">
        <v>6</v>
      </c>
      <c r="P203" t="n">
        <v>14</v>
      </c>
      <c r="R203">
        <f>IF(G1370&gt;0,1-H1370/G1370,"")</f>
        <v/>
      </c>
      <c r="S203">
        <f>IF(G1370&gt;0,(G1370/1.18-I1370)/(G1370/1.18),"")</f>
        <v/>
      </c>
      <c r="T203">
        <f>IF(H1370&gt;0,(H1370/1.18-I1370)/(H1370/1.18),"")</f>
        <v/>
      </c>
      <c r="U203" t="inlineStr">
        <is>
          <t>NOOS</t>
        </is>
      </c>
      <c r="V203" t="n">
        <v>3167.11</v>
      </c>
      <c r="W203" t="n">
        <v>372.01</v>
      </c>
      <c r="X203" t="n">
        <v>0.1175</v>
      </c>
    </row>
    <row r="204">
      <c r="A204" t="inlineStr">
        <is>
          <t>37018164</t>
        </is>
      </c>
      <c r="B204" t="inlineStr">
        <is>
          <t>PRODUCTO F21581</t>
        </is>
      </c>
      <c r="C204" t="inlineStr">
        <is>
          <t>JOHN HOLDEN</t>
        </is>
      </c>
      <c r="D204" t="inlineStr">
        <is>
          <t>CASACAS</t>
        </is>
      </c>
      <c r="E204" t="inlineStr">
        <is>
          <t>MARCAS CASUAL NACIONAL HOMBRE</t>
        </is>
      </c>
      <c r="F204" t="n">
        <v>8</v>
      </c>
      <c r="G204" t="n">
        <v>319.9</v>
      </c>
      <c r="H204" t="n">
        <v>191.94</v>
      </c>
      <c r="I204" t="n">
        <v>139.65</v>
      </c>
      <c r="J204" t="inlineStr">
        <is>
          <t>OI</t>
        </is>
      </c>
      <c r="K204" t="inlineStr">
        <is>
          <t>RANGO 0_3</t>
        </is>
      </c>
      <c r="L204" t="n">
        <v>3</v>
      </c>
      <c r="M204" t="n">
        <v>7</v>
      </c>
      <c r="N204" t="n">
        <v>14</v>
      </c>
      <c r="O204" t="n">
        <v>28</v>
      </c>
      <c r="P204" t="n">
        <v>9</v>
      </c>
      <c r="R204">
        <f>IF(G1371&gt;0,1-H1371/G1371,"")</f>
        <v/>
      </c>
      <c r="S204">
        <f>IF(G1371&gt;0,(G1371/1.18-I1371)/(G1371/1.18),"")</f>
        <v/>
      </c>
      <c r="T204">
        <f>IF(H1371&gt;0,(H1371/1.18-I1371)/(H1371/1.18),"")</f>
        <v/>
      </c>
      <c r="U204" t="inlineStr">
        <is>
          <t>NOOS</t>
        </is>
      </c>
      <c r="V204" t="n">
        <v>7940.9</v>
      </c>
      <c r="W204" t="n">
        <v>-143.19</v>
      </c>
      <c r="X204" t="n">
        <v>-0.018</v>
      </c>
    </row>
    <row r="205">
      <c r="A205" t="inlineStr">
        <is>
          <t>37018331</t>
        </is>
      </c>
      <c r="B205" t="inlineStr">
        <is>
          <t>PRODUCTO 796CF0</t>
        </is>
      </c>
      <c r="C205" t="inlineStr">
        <is>
          <t>PIERRE CARDIN</t>
        </is>
      </c>
      <c r="D205" t="inlineStr">
        <is>
          <t>CASACAS</t>
        </is>
      </c>
      <c r="E205" t="inlineStr">
        <is>
          <t>MARCAS CASUAL NACIONAL HOMBRE</t>
        </is>
      </c>
      <c r="F205" t="n">
        <v>8</v>
      </c>
      <c r="G205" t="n">
        <v>539</v>
      </c>
      <c r="H205" t="n">
        <v>189</v>
      </c>
      <c r="I205" t="n">
        <v>296.91</v>
      </c>
      <c r="J205" t="inlineStr">
        <is>
          <t>OI</t>
        </is>
      </c>
      <c r="K205" t="inlineStr">
        <is>
          <t>RANGO 0_3</t>
        </is>
      </c>
      <c r="L205" t="n">
        <v>0</v>
      </c>
      <c r="M205" t="n">
        <v>7</v>
      </c>
      <c r="N205" t="n">
        <v>12</v>
      </c>
      <c r="O205" t="n">
        <v>8</v>
      </c>
      <c r="P205" t="n">
        <v>10</v>
      </c>
      <c r="R205">
        <f>IF(G1377&gt;0,1-H1377/G1377,"")</f>
        <v/>
      </c>
      <c r="S205">
        <f>IF(G1377&gt;0,(G1377/1.18-I1377)/(G1377/1.18),"")</f>
        <v/>
      </c>
      <c r="T205">
        <f>IF(H1377&gt;0,(H1377/1.18-I1377)/(H1377/1.18),"")</f>
        <v/>
      </c>
      <c r="U205" t="inlineStr">
        <is>
          <t>NOOS</t>
        </is>
      </c>
      <c r="V205" t="n">
        <v>6042.63</v>
      </c>
      <c r="W205" t="n">
        <v>2114.95</v>
      </c>
      <c r="X205" t="n">
        <v>0.35</v>
      </c>
    </row>
    <row r="206">
      <c r="A206" t="inlineStr">
        <is>
          <t>37018388</t>
        </is>
      </c>
      <c r="B206" t="inlineStr">
        <is>
          <t>PRODUCTO 30C080</t>
        </is>
      </c>
      <c r="C206" t="inlineStr">
        <is>
          <t>PIERRE CARDIN</t>
        </is>
      </c>
      <c r="D206" t="inlineStr">
        <is>
          <t>CASACAS</t>
        </is>
      </c>
      <c r="E206" t="inlineStr">
        <is>
          <t>MARCAS CASUAL NACIONAL HOMBRE</t>
        </is>
      </c>
      <c r="F206" t="n">
        <v>10</v>
      </c>
      <c r="G206" t="n">
        <v>399</v>
      </c>
      <c r="H206" t="n">
        <v>189</v>
      </c>
      <c r="I206" t="n">
        <v>219.79</v>
      </c>
      <c r="J206" t="inlineStr">
        <is>
          <t>OI</t>
        </is>
      </c>
      <c r="K206" t="inlineStr">
        <is>
          <t>RANGO 0_3</t>
        </is>
      </c>
      <c r="L206" t="n">
        <v>0</v>
      </c>
      <c r="M206" t="n">
        <v>4</v>
      </c>
      <c r="N206" t="n">
        <v>5</v>
      </c>
      <c r="O206" t="n">
        <v>10</v>
      </c>
      <c r="P206" t="n">
        <v>11</v>
      </c>
      <c r="R206">
        <f>IF(G1380&gt;0,1-H1380/G1380,"")</f>
        <v/>
      </c>
      <c r="S206">
        <f>IF(G1380&gt;0,(G1380/1.18-I1380)/(G1380/1.18),"")</f>
        <v/>
      </c>
      <c r="T206">
        <f>IF(H1380&gt;0,(H1380/1.18-I1380)/(H1380/1.18),"")</f>
        <v/>
      </c>
      <c r="U206" t="inlineStr">
        <is>
          <t>NOOS</t>
        </is>
      </c>
      <c r="V206" t="n">
        <v>4848.68</v>
      </c>
      <c r="W206" t="n">
        <v>1696.97</v>
      </c>
      <c r="X206" t="n">
        <v>0.35</v>
      </c>
    </row>
    <row r="207">
      <c r="A207" t="inlineStr">
        <is>
          <t>37018438</t>
        </is>
      </c>
      <c r="B207" t="inlineStr">
        <is>
          <t>PRODUCTO 4749C0</t>
        </is>
      </c>
      <c r="C207" t="inlineStr">
        <is>
          <t>PIERRE CARDIN</t>
        </is>
      </c>
      <c r="D207" t="inlineStr">
        <is>
          <t>CASACAS</t>
        </is>
      </c>
      <c r="E207" t="inlineStr">
        <is>
          <t>MARCAS CASUAL NACIONAL HOMBRE</t>
        </is>
      </c>
      <c r="F207" t="n">
        <v>2</v>
      </c>
      <c r="G207" t="n">
        <v>389</v>
      </c>
      <c r="H207" t="n">
        <v>149</v>
      </c>
      <c r="I207" t="n">
        <v>214.28</v>
      </c>
      <c r="J207" t="inlineStr">
        <is>
          <t>OI</t>
        </is>
      </c>
      <c r="K207" t="inlineStr">
        <is>
          <t>RANGO 0_3</t>
        </is>
      </c>
      <c r="L207" t="n">
        <v>0</v>
      </c>
      <c r="M207" t="n">
        <v>12</v>
      </c>
      <c r="N207" t="n">
        <v>12</v>
      </c>
      <c r="O207" t="n">
        <v>15</v>
      </c>
      <c r="P207" t="n">
        <v>8</v>
      </c>
      <c r="R207">
        <f>IF(G1382&gt;0,1-H1382/G1382,"")</f>
        <v/>
      </c>
      <c r="S207">
        <f>IF(G1382&gt;0,(G1382/1.18-I1382)/(G1382/1.18),"")</f>
        <v/>
      </c>
      <c r="T207">
        <f>IF(H1382&gt;0,(H1382/1.18-I1382)/(H1382/1.18),"")</f>
        <v/>
      </c>
      <c r="U207" t="inlineStr">
        <is>
          <t>NOOS</t>
        </is>
      </c>
      <c r="V207" t="n">
        <v>6190.14</v>
      </c>
      <c r="W207" t="n">
        <v>2166.39</v>
      </c>
      <c r="X207" t="n">
        <v>0.35</v>
      </c>
    </row>
    <row r="208">
      <c r="A208" t="inlineStr">
        <is>
          <t>37027682</t>
        </is>
      </c>
      <c r="B208" t="inlineStr">
        <is>
          <t>PRODUCTO 85E2A9</t>
        </is>
      </c>
      <c r="C208" t="inlineStr">
        <is>
          <t>PIERRE CARDIN</t>
        </is>
      </c>
      <c r="D208" t="inlineStr">
        <is>
          <t>POLERONES</t>
        </is>
      </c>
      <c r="E208" t="inlineStr">
        <is>
          <t>MARCAS CASUAL NACIONAL HOMBRE</t>
        </is>
      </c>
      <c r="F208" t="n">
        <v>12</v>
      </c>
      <c r="G208" t="n">
        <v>359</v>
      </c>
      <c r="H208" t="n">
        <v>129</v>
      </c>
      <c r="I208" t="n">
        <v>197.75</v>
      </c>
      <c r="J208" t="inlineStr">
        <is>
          <t>OI</t>
        </is>
      </c>
      <c r="K208" t="inlineStr">
        <is>
          <t>RANGO 0_3</t>
        </is>
      </c>
      <c r="L208" t="n">
        <v>0</v>
      </c>
      <c r="M208" t="n">
        <v>6</v>
      </c>
      <c r="N208" t="n">
        <v>2</v>
      </c>
      <c r="O208" t="n">
        <v>8</v>
      </c>
      <c r="P208" t="n">
        <v>4</v>
      </c>
      <c r="R208">
        <f>IF(G1400&gt;0,1-H1400/G1400,"")</f>
        <v/>
      </c>
      <c r="S208">
        <f>IF(G1400&gt;0,(G1400/1.18-I1400)/(G1400/1.18),"")</f>
        <v/>
      </c>
      <c r="T208">
        <f>IF(H1400&gt;0,(H1400/1.18-I1400)/(H1400/1.18),"")</f>
        <v/>
      </c>
      <c r="U208" t="inlineStr">
        <is>
          <t>NOOS</t>
        </is>
      </c>
      <c r="V208" t="n">
        <v>2390.81</v>
      </c>
      <c r="W208" t="n">
        <v>836.75</v>
      </c>
      <c r="X208" t="n">
        <v>0.35</v>
      </c>
    </row>
    <row r="209">
      <c r="A209" t="inlineStr">
        <is>
          <t>37035794</t>
        </is>
      </c>
      <c r="B209" t="inlineStr">
        <is>
          <t>PRODUCTO 196FB2</t>
        </is>
      </c>
      <c r="C209" t="inlineStr">
        <is>
          <t>NAUTICA</t>
        </is>
      </c>
      <c r="D209" t="inlineStr">
        <is>
          <t>PANTALONES</t>
        </is>
      </c>
      <c r="E209" t="inlineStr">
        <is>
          <t>MARCAS CASUAL INTERNACIONAL HOMBRE</t>
        </is>
      </c>
      <c r="F209" t="n">
        <v>19</v>
      </c>
      <c r="G209" t="n">
        <v>299.99</v>
      </c>
      <c r="H209" t="n">
        <v>199.99</v>
      </c>
      <c r="I209" t="n">
        <v>101.64</v>
      </c>
      <c r="J209" t="inlineStr">
        <is>
          <t>TT</t>
        </is>
      </c>
      <c r="K209" t="inlineStr">
        <is>
          <t>RANGO 3_6</t>
        </is>
      </c>
      <c r="L209" t="n">
        <v>0</v>
      </c>
      <c r="M209" t="n">
        <v>1</v>
      </c>
      <c r="N209" t="n">
        <v>2</v>
      </c>
      <c r="O209" t="n">
        <v>2</v>
      </c>
      <c r="P209" t="n">
        <v>2</v>
      </c>
      <c r="R209">
        <f>IF(G1409&gt;0,1-H1409/G1409,"")</f>
        <v/>
      </c>
      <c r="S209">
        <f>IF(G1409&gt;0,(G1409/1.18-I1409)/(G1409/1.18),"")</f>
        <v/>
      </c>
      <c r="T209">
        <f>IF(H1409&gt;0,(H1409/1.18-I1409)/(H1409/1.18),"")</f>
        <v/>
      </c>
      <c r="U209" t="inlineStr">
        <is>
          <t>NOOS</t>
        </is>
      </c>
      <c r="V209" t="n">
        <v>1119.46</v>
      </c>
      <c r="W209" t="n">
        <v>407.98</v>
      </c>
      <c r="X209" t="n">
        <v>0.3644</v>
      </c>
    </row>
    <row r="210">
      <c r="A210" t="inlineStr">
        <is>
          <t>37035817</t>
        </is>
      </c>
      <c r="B210" t="inlineStr">
        <is>
          <t>PRODUCTO 03BF40</t>
        </is>
      </c>
      <c r="C210" t="inlineStr">
        <is>
          <t>NAUTICA</t>
        </is>
      </c>
      <c r="D210" t="inlineStr">
        <is>
          <t>POLOS M/C</t>
        </is>
      </c>
      <c r="E210" t="inlineStr">
        <is>
          <t>MARCAS CASUAL INTERNACIONAL HOMBRE</t>
        </is>
      </c>
      <c r="F210" t="n">
        <v>19</v>
      </c>
      <c r="G210" t="n">
        <v>299.99</v>
      </c>
      <c r="H210" t="n">
        <v>199.99</v>
      </c>
      <c r="I210" t="n">
        <v>111.27</v>
      </c>
      <c r="J210" t="inlineStr">
        <is>
          <t>OI</t>
        </is>
      </c>
      <c r="K210" t="inlineStr">
        <is>
          <t>RANGO 3_6</t>
        </is>
      </c>
      <c r="L210" t="n">
        <v>0</v>
      </c>
      <c r="M210" t="n">
        <v>1</v>
      </c>
      <c r="N210" t="n">
        <v>0</v>
      </c>
      <c r="O210" t="n">
        <v>2</v>
      </c>
      <c r="P210" t="n">
        <v>0</v>
      </c>
      <c r="R210">
        <f>IF(G1412&gt;0,1-H1412/G1412,"")</f>
        <v/>
      </c>
      <c r="S210">
        <f>IF(G1412&gt;0,(G1412/1.18-I1412)/(G1412/1.18),"")</f>
        <v/>
      </c>
      <c r="T210">
        <f>IF(H1412&gt;0,(H1412/1.18-I1412)/(H1412/1.18),"")</f>
        <v/>
      </c>
      <c r="U210" t="inlineStr">
        <is>
          <t>NOOS</t>
        </is>
      </c>
      <c r="V210" t="n">
        <v>479.76</v>
      </c>
      <c r="W210" t="n">
        <v>145.95</v>
      </c>
      <c r="X210" t="n">
        <v>0.3042</v>
      </c>
    </row>
    <row r="211">
      <c r="A211" t="inlineStr">
        <is>
          <t>37035822</t>
        </is>
      </c>
      <c r="B211" t="inlineStr">
        <is>
          <t>PRODUCTO 3BC968</t>
        </is>
      </c>
      <c r="C211" t="inlineStr">
        <is>
          <t>NAUTICA</t>
        </is>
      </c>
      <c r="D211" t="inlineStr">
        <is>
          <t>POLOS M/C</t>
        </is>
      </c>
      <c r="E211" t="inlineStr">
        <is>
          <t>MARCAS CASUAL INTERNACIONAL HOMBRE</t>
        </is>
      </c>
      <c r="F211" t="n">
        <v>19</v>
      </c>
      <c r="G211" t="n">
        <v>299.99</v>
      </c>
      <c r="H211" t="n">
        <v>199.99</v>
      </c>
      <c r="I211" t="n">
        <v>111.27</v>
      </c>
      <c r="J211" t="inlineStr">
        <is>
          <t>OI</t>
        </is>
      </c>
      <c r="K211" t="inlineStr">
        <is>
          <t>RANGO 3_6</t>
        </is>
      </c>
      <c r="L211" t="n">
        <v>0</v>
      </c>
      <c r="M211" t="n">
        <v>1</v>
      </c>
      <c r="N211" t="n">
        <v>1</v>
      </c>
      <c r="O211" t="n">
        <v>4</v>
      </c>
      <c r="P211" t="n">
        <v>3</v>
      </c>
      <c r="R211">
        <f>IF(G1413&gt;0,1-H1413/G1413,"")</f>
        <v/>
      </c>
      <c r="S211">
        <f>IF(G1413&gt;0,(G1413/1.18-I1413)/(G1413/1.18),"")</f>
        <v/>
      </c>
      <c r="T211">
        <f>IF(H1413&gt;0,(H1413/1.18-I1413)/(H1413/1.18),"")</f>
        <v/>
      </c>
      <c r="U211" t="inlineStr">
        <is>
          <t>NOOS</t>
        </is>
      </c>
      <c r="V211" t="n">
        <v>1550.76</v>
      </c>
      <c r="W211" t="n">
        <v>549.33</v>
      </c>
      <c r="X211" t="n">
        <v>0.3542</v>
      </c>
    </row>
    <row r="212">
      <c r="A212" t="inlineStr">
        <is>
          <t>37035827</t>
        </is>
      </c>
      <c r="B212" t="inlineStr">
        <is>
          <t>PRODUCTO 6930EB</t>
        </is>
      </c>
      <c r="C212" t="inlineStr">
        <is>
          <t>NAUTICA</t>
        </is>
      </c>
      <c r="D212" t="inlineStr">
        <is>
          <t>POLOS M/C</t>
        </is>
      </c>
      <c r="E212" t="inlineStr">
        <is>
          <t>MARCAS CASUAL INTERNACIONAL HOMBRE</t>
        </is>
      </c>
      <c r="F212" t="n">
        <v>19</v>
      </c>
      <c r="G212" t="n">
        <v>299.99</v>
      </c>
      <c r="H212" t="n">
        <v>199.99</v>
      </c>
      <c r="I212" t="n">
        <v>111.27</v>
      </c>
      <c r="J212" t="inlineStr">
        <is>
          <t>OI</t>
        </is>
      </c>
      <c r="K212" t="inlineStr">
        <is>
          <t>RANGO 3_6</t>
        </is>
      </c>
      <c r="L212" t="n">
        <v>0</v>
      </c>
      <c r="M212" t="n">
        <v>2</v>
      </c>
      <c r="N212" t="n">
        <v>3</v>
      </c>
      <c r="O212" t="n">
        <v>0</v>
      </c>
      <c r="P212" t="n">
        <v>1</v>
      </c>
      <c r="R212">
        <f>IF(G1414&gt;0,1-H1414/G1414,"")</f>
        <v/>
      </c>
      <c r="S212">
        <f>IF(G1414&gt;0,(G1414/1.18-I1414)/(G1414/1.18),"")</f>
        <v/>
      </c>
      <c r="T212">
        <f>IF(H1414&gt;0,(H1414/1.18-I1414)/(H1414/1.18),"")</f>
        <v/>
      </c>
      <c r="U212" t="inlineStr">
        <is>
          <t>NOOS</t>
        </is>
      </c>
      <c r="V212" t="n">
        <v>1016.88</v>
      </c>
      <c r="W212" t="n">
        <v>349.26</v>
      </c>
      <c r="X212" t="n">
        <v>0.3435</v>
      </c>
    </row>
    <row r="213">
      <c r="A213" t="inlineStr">
        <is>
          <t>37035847</t>
        </is>
      </c>
      <c r="B213" t="inlineStr">
        <is>
          <t>PRODUCTO 2441B3</t>
        </is>
      </c>
      <c r="C213" t="inlineStr">
        <is>
          <t>NAUTICA</t>
        </is>
      </c>
      <c r="D213" t="inlineStr">
        <is>
          <t>POLOS M/C</t>
        </is>
      </c>
      <c r="E213" t="inlineStr">
        <is>
          <t>MARCAS CASUAL INTERNACIONAL HOMBRE</t>
        </is>
      </c>
      <c r="F213" t="n">
        <v>19</v>
      </c>
      <c r="G213" t="n">
        <v>189.99</v>
      </c>
      <c r="H213" t="n">
        <v>129.99</v>
      </c>
      <c r="I213" t="n">
        <v>62.96</v>
      </c>
      <c r="J213" t="inlineStr">
        <is>
          <t>OI</t>
        </is>
      </c>
      <c r="K213" t="inlineStr">
        <is>
          <t>RANGO 3_6</t>
        </is>
      </c>
      <c r="L213" t="n">
        <v>0</v>
      </c>
      <c r="M213" t="n">
        <v>3</v>
      </c>
      <c r="N213" t="n">
        <v>4</v>
      </c>
      <c r="O213" t="n">
        <v>2</v>
      </c>
      <c r="P213" t="n">
        <v>5</v>
      </c>
      <c r="R213">
        <f>IF(G1418&gt;0,1-H1418/G1418,"")</f>
        <v/>
      </c>
      <c r="S213">
        <f>IF(G1418&gt;0,(G1418/1.18-I1418)/(G1418/1.18),"")</f>
        <v/>
      </c>
      <c r="T213">
        <f>IF(H1418&gt;0,(H1418/1.18-I1418)/(H1418/1.18),"")</f>
        <v/>
      </c>
      <c r="U213" t="inlineStr">
        <is>
          <t>NOOS</t>
        </is>
      </c>
      <c r="V213" t="n">
        <v>1469.59</v>
      </c>
      <c r="W213" t="n">
        <v>588.15</v>
      </c>
      <c r="X213" t="n">
        <v>0.4002</v>
      </c>
    </row>
    <row r="214">
      <c r="A214" t="inlineStr">
        <is>
          <t>37035867</t>
        </is>
      </c>
      <c r="B214" t="inlineStr">
        <is>
          <t>PRODUCTO 27A611</t>
        </is>
      </c>
      <c r="C214" t="inlineStr">
        <is>
          <t>NAUTICA</t>
        </is>
      </c>
      <c r="D214" t="inlineStr">
        <is>
          <t>CAMISAS M/L</t>
        </is>
      </c>
      <c r="E214" t="inlineStr">
        <is>
          <t>MARCAS CASUAL INTERNACIONAL HOMBRE</t>
        </is>
      </c>
      <c r="F214" t="n">
        <v>19</v>
      </c>
      <c r="G214" t="n">
        <v>329.99</v>
      </c>
      <c r="H214" t="n">
        <v>169.99</v>
      </c>
      <c r="I214" t="n">
        <v>111.27</v>
      </c>
      <c r="J214" t="inlineStr">
        <is>
          <t>OI</t>
        </is>
      </c>
      <c r="K214" t="inlineStr">
        <is>
          <t>RANGO 3_6</t>
        </is>
      </c>
      <c r="L214" t="n">
        <v>0</v>
      </c>
      <c r="M214" t="n">
        <v>2</v>
      </c>
      <c r="N214" t="n">
        <v>1</v>
      </c>
      <c r="O214" t="n">
        <v>2</v>
      </c>
      <c r="P214" t="n">
        <v>3</v>
      </c>
      <c r="R214">
        <f>IF(G1422&gt;0,1-H1422/G1422,"")</f>
        <v/>
      </c>
      <c r="S214">
        <f>IF(G1422&gt;0,(G1422/1.18-I1422)/(G1422/1.18),"")</f>
        <v/>
      </c>
      <c r="T214">
        <f>IF(H1422&gt;0,(H1422/1.18-I1422)/(H1422/1.18),"")</f>
        <v/>
      </c>
      <c r="U214" t="inlineStr">
        <is>
          <t>NOOS</t>
        </is>
      </c>
      <c r="V214" t="n">
        <v>1194.86</v>
      </c>
      <c r="W214" t="n">
        <v>304.7</v>
      </c>
      <c r="X214" t="n">
        <v>0.255</v>
      </c>
    </row>
    <row r="215">
      <c r="A215" t="inlineStr">
        <is>
          <t>37035887</t>
        </is>
      </c>
      <c r="B215" t="inlineStr">
        <is>
          <t>PRODUCTO 799EA3</t>
        </is>
      </c>
      <c r="C215" t="inlineStr">
        <is>
          <t>NAUTICA</t>
        </is>
      </c>
      <c r="D215" t="inlineStr">
        <is>
          <t>CHOMPAS</t>
        </is>
      </c>
      <c r="E215" t="inlineStr">
        <is>
          <t>MARCAS CASUAL INTERNACIONAL HOMBRE</t>
        </is>
      </c>
      <c r="F215" t="n">
        <v>19</v>
      </c>
      <c r="G215" t="n">
        <v>279.99</v>
      </c>
      <c r="H215" t="n">
        <v>79.98999999999999</v>
      </c>
      <c r="I215" t="n">
        <v>90.04000000000001</v>
      </c>
      <c r="J215" t="inlineStr">
        <is>
          <t>OI</t>
        </is>
      </c>
      <c r="K215" t="inlineStr">
        <is>
          <t>RANGO 3_6</t>
        </is>
      </c>
      <c r="L215" t="n">
        <v>0</v>
      </c>
      <c r="M215" t="n">
        <v>7</v>
      </c>
      <c r="N215" t="n">
        <v>20</v>
      </c>
      <c r="O215" t="n">
        <v>4</v>
      </c>
      <c r="P215" t="n">
        <v>1</v>
      </c>
      <c r="R215">
        <f>IF(G1426&gt;0,1-H1426/G1426,"")</f>
        <v/>
      </c>
      <c r="S215">
        <f>IF(G1426&gt;0,(G1426/1.18-I1426)/(G1426/1.18),"")</f>
        <v/>
      </c>
      <c r="T215">
        <f>IF(H1426&gt;0,(H1426/1.18-I1426)/(H1426/1.18),"")</f>
        <v/>
      </c>
      <c r="U215" t="inlineStr">
        <is>
          <t>NOOS</t>
        </is>
      </c>
      <c r="V215" t="n">
        <v>2279.59</v>
      </c>
      <c r="W215" t="n">
        <v>-601.6900000000001</v>
      </c>
      <c r="X215" t="n">
        <v>-0.2639</v>
      </c>
    </row>
    <row r="216">
      <c r="A216" t="inlineStr">
        <is>
          <t>37055589</t>
        </is>
      </c>
      <c r="B216" t="inlineStr">
        <is>
          <t>PRODUCTO D4ACDB</t>
        </is>
      </c>
      <c r="C216" t="inlineStr">
        <is>
          <t>DOCKERS</t>
        </is>
      </c>
      <c r="D216" t="inlineStr">
        <is>
          <t>CAMISAS M/L</t>
        </is>
      </c>
      <c r="E216" t="inlineStr">
        <is>
          <t>MARCAS CASUAL NACIONAL HOMBRE</t>
        </is>
      </c>
      <c r="F216" t="n">
        <v>8</v>
      </c>
      <c r="G216" t="n">
        <v>199</v>
      </c>
      <c r="H216" t="n">
        <v>139.3</v>
      </c>
      <c r="I216" t="n">
        <v>103.42</v>
      </c>
      <c r="J216" t="inlineStr">
        <is>
          <t>TT</t>
        </is>
      </c>
      <c r="K216" t="inlineStr">
        <is>
          <t>RANGO 0_3</t>
        </is>
      </c>
      <c r="L216" t="n">
        <v>0</v>
      </c>
      <c r="M216" t="n">
        <v>2</v>
      </c>
      <c r="N216" t="n">
        <v>3</v>
      </c>
      <c r="O216" t="n">
        <v>5</v>
      </c>
      <c r="P216" t="n">
        <v>2</v>
      </c>
      <c r="R216">
        <f>IF(G1429&gt;0,1-H1429/G1429,"")</f>
        <v/>
      </c>
      <c r="S216">
        <f>IF(G1429&gt;0,(G1429/1.18-I1429)/(G1429/1.18),"")</f>
        <v/>
      </c>
      <c r="T216">
        <f>IF(H1429&gt;0,(H1429/1.18-I1429)/(H1429/1.18),"")</f>
        <v/>
      </c>
      <c r="U216" t="inlineStr">
        <is>
          <t>NOOS</t>
        </is>
      </c>
      <c r="V216" t="n">
        <v>1416.58</v>
      </c>
      <c r="W216" t="n">
        <v>179.95</v>
      </c>
      <c r="X216" t="n">
        <v>0.127</v>
      </c>
    </row>
    <row r="217">
      <c r="A217" t="inlineStr">
        <is>
          <t>37055594</t>
        </is>
      </c>
      <c r="B217" t="inlineStr">
        <is>
          <t>PRODUCTO 89FD72</t>
        </is>
      </c>
      <c r="C217" t="inlineStr">
        <is>
          <t>DOCKERS</t>
        </is>
      </c>
      <c r="D217" t="inlineStr">
        <is>
          <t>CAMISAS M/L</t>
        </is>
      </c>
      <c r="E217" t="inlineStr">
        <is>
          <t>MARCAS CASUAL NACIONAL HOMBRE</t>
        </is>
      </c>
      <c r="F217" t="n">
        <v>9</v>
      </c>
      <c r="G217" t="n">
        <v>199</v>
      </c>
      <c r="H217" t="n">
        <v>139.3</v>
      </c>
      <c r="I217" t="n">
        <v>104.41</v>
      </c>
      <c r="J217" t="inlineStr">
        <is>
          <t>TT</t>
        </is>
      </c>
      <c r="K217" t="inlineStr">
        <is>
          <t>RANGO 0_3</t>
        </is>
      </c>
      <c r="L217" t="n">
        <v>6</v>
      </c>
      <c r="M217" t="n">
        <v>6</v>
      </c>
      <c r="N217" t="n">
        <v>6</v>
      </c>
      <c r="O217" t="n">
        <v>4</v>
      </c>
      <c r="P217" t="n">
        <v>0</v>
      </c>
      <c r="R217">
        <f>IF(G1430&gt;0,1-H1430/G1430,"")</f>
        <v/>
      </c>
      <c r="S217">
        <f>IF(G1430&gt;0,(G1430/1.18-I1430)/(G1430/1.18),"")</f>
        <v/>
      </c>
      <c r="T217">
        <f>IF(H1430&gt;0,(H1430/1.18-I1430)/(H1430/1.18),"")</f>
        <v/>
      </c>
      <c r="U217" t="inlineStr">
        <is>
          <t>NOOS</t>
        </is>
      </c>
      <c r="V217" t="n">
        <v>1888.8</v>
      </c>
      <c r="W217" t="n">
        <v>219.68</v>
      </c>
      <c r="X217" t="n">
        <v>0.1163</v>
      </c>
    </row>
    <row r="218">
      <c r="A218" t="inlineStr">
        <is>
          <t>37055598</t>
        </is>
      </c>
      <c r="B218" t="inlineStr">
        <is>
          <t>PRODUCTO DD2A0A</t>
        </is>
      </c>
      <c r="C218" t="inlineStr">
        <is>
          <t>DOCKERS</t>
        </is>
      </c>
      <c r="D218" t="inlineStr">
        <is>
          <t>CAMISAS M/L</t>
        </is>
      </c>
      <c r="E218" t="inlineStr">
        <is>
          <t>MARCAS CASUAL NACIONAL HOMBRE</t>
        </is>
      </c>
      <c r="F218" t="n">
        <v>11</v>
      </c>
      <c r="G218" t="n">
        <v>199</v>
      </c>
      <c r="H218" t="n">
        <v>139.3</v>
      </c>
      <c r="I218" t="n">
        <v>104.81</v>
      </c>
      <c r="J218" t="inlineStr">
        <is>
          <t>TT</t>
        </is>
      </c>
      <c r="K218" t="inlineStr">
        <is>
          <t>RANGO 0_3</t>
        </is>
      </c>
      <c r="L218" t="n">
        <v>2</v>
      </c>
      <c r="M218" t="n">
        <v>0</v>
      </c>
      <c r="N218" t="n">
        <v>5</v>
      </c>
      <c r="O218" t="n">
        <v>3</v>
      </c>
      <c r="P218" t="n">
        <v>4</v>
      </c>
      <c r="R218">
        <f>IF(G1431&gt;0,1-H1431/G1431,"")</f>
        <v/>
      </c>
      <c r="S218">
        <f>IF(G1431&gt;0,(G1431/1.18-I1431)/(G1431/1.18),"")</f>
        <v/>
      </c>
      <c r="T218">
        <f>IF(H1431&gt;0,(H1431/1.18-I1431)/(H1431/1.18),"")</f>
        <v/>
      </c>
      <c r="U218" t="inlineStr">
        <is>
          <t>NOOS</t>
        </is>
      </c>
      <c r="V218" t="n">
        <v>1467.17</v>
      </c>
      <c r="W218" t="n">
        <v>214.18</v>
      </c>
      <c r="X218" t="n">
        <v>0.146</v>
      </c>
    </row>
    <row r="219">
      <c r="A219" t="inlineStr">
        <is>
          <t>37055608</t>
        </is>
      </c>
      <c r="B219" t="inlineStr">
        <is>
          <t>PRODUCTO B56DC4</t>
        </is>
      </c>
      <c r="C219" t="inlineStr">
        <is>
          <t>DOCKERS</t>
        </is>
      </c>
      <c r="D219" t="inlineStr">
        <is>
          <t>CAMISAS M/L</t>
        </is>
      </c>
      <c r="E219" t="inlineStr">
        <is>
          <t>MARCAS CASUAL NACIONAL HOMBRE</t>
        </is>
      </c>
      <c r="F219" t="n">
        <v>11</v>
      </c>
      <c r="G219" t="n">
        <v>199</v>
      </c>
      <c r="H219" t="n">
        <v>139.3</v>
      </c>
      <c r="I219" t="n">
        <v>102.97</v>
      </c>
      <c r="J219" t="inlineStr">
        <is>
          <t>TT</t>
        </is>
      </c>
      <c r="K219" t="inlineStr">
        <is>
          <t>RANGO 0_3</t>
        </is>
      </c>
      <c r="L219" t="n">
        <v>2</v>
      </c>
      <c r="M219" t="n">
        <v>4</v>
      </c>
      <c r="N219" t="n">
        <v>-1</v>
      </c>
      <c r="O219" t="n">
        <v>2</v>
      </c>
      <c r="P219" t="n">
        <v>1</v>
      </c>
      <c r="R219">
        <f>IF(G1433&gt;0,1-H1433/G1433,"")</f>
        <v/>
      </c>
      <c r="S219">
        <f>IF(G1433&gt;0,(G1433/1.18-I1433)/(G1433/1.18),"")</f>
        <v/>
      </c>
      <c r="T219">
        <f>IF(H1433&gt;0,(H1433/1.18-I1433)/(H1433/1.18),"")</f>
        <v/>
      </c>
      <c r="U219" t="inlineStr">
        <is>
          <t>NOOS</t>
        </is>
      </c>
      <c r="V219" t="n">
        <v>775.75</v>
      </c>
      <c r="W219" t="n">
        <v>156.9</v>
      </c>
      <c r="X219" t="n">
        <v>0.2023</v>
      </c>
    </row>
    <row r="220">
      <c r="A220" t="inlineStr">
        <is>
          <t>37055612</t>
        </is>
      </c>
      <c r="B220" t="inlineStr">
        <is>
          <t>PRODUCTO 8D1A3B</t>
        </is>
      </c>
      <c r="C220" t="inlineStr">
        <is>
          <t>DOCKERS</t>
        </is>
      </c>
      <c r="D220" t="inlineStr">
        <is>
          <t>CAMISAS M/L</t>
        </is>
      </c>
      <c r="E220" t="inlineStr">
        <is>
          <t>MARCAS CASUAL NACIONAL HOMBRE</t>
        </is>
      </c>
      <c r="F220" t="n">
        <v>8</v>
      </c>
      <c r="G220" t="n">
        <v>199</v>
      </c>
      <c r="H220" t="n">
        <v>199</v>
      </c>
      <c r="I220" t="n">
        <v>97.37</v>
      </c>
      <c r="J220" t="inlineStr">
        <is>
          <t>TT</t>
        </is>
      </c>
      <c r="K220" t="inlineStr">
        <is>
          <t>RANGO 0_3</t>
        </is>
      </c>
      <c r="L220" t="n">
        <v>2</v>
      </c>
      <c r="M220" t="n">
        <v>2</v>
      </c>
      <c r="N220" t="n">
        <v>1</v>
      </c>
      <c r="O220" t="n">
        <v>2</v>
      </c>
      <c r="P220" t="n">
        <v>11</v>
      </c>
      <c r="R220">
        <f>IF(G1434&gt;0,1-H1434/G1434,"")</f>
        <v/>
      </c>
      <c r="S220">
        <f>IF(G1434&gt;0,(G1434/1.18-I1434)/(G1434/1.18),"")</f>
        <v/>
      </c>
      <c r="T220">
        <f>IF(H1434&gt;0,(H1434/1.18-I1434)/(H1434/1.18),"")</f>
        <v/>
      </c>
      <c r="U220" t="inlineStr">
        <is>
          <t>NOOS</t>
        </is>
      </c>
      <c r="V220" t="n">
        <v>2445.24</v>
      </c>
      <c r="W220" t="n">
        <v>887.64</v>
      </c>
      <c r="X220" t="n">
        <v>0.363</v>
      </c>
    </row>
    <row r="221">
      <c r="A221" t="inlineStr">
        <is>
          <t>37067304</t>
        </is>
      </c>
      <c r="B221" t="inlineStr">
        <is>
          <t>PRODUCTO C2124A</t>
        </is>
      </c>
      <c r="C221" t="inlineStr">
        <is>
          <t>SELECTED</t>
        </is>
      </c>
      <c r="D221" t="inlineStr">
        <is>
          <t>CASACAS</t>
        </is>
      </c>
      <c r="E221" t="inlineStr">
        <is>
          <t>MARCAS CASUAL INTERNACIONAL HOMBRE</t>
        </is>
      </c>
      <c r="F221" t="n">
        <v>16</v>
      </c>
      <c r="G221" t="n">
        <v>269.99</v>
      </c>
      <c r="H221" t="n">
        <v>108</v>
      </c>
      <c r="I221" t="n">
        <v>78.73</v>
      </c>
      <c r="J221" t="inlineStr">
        <is>
          <t>OI</t>
        </is>
      </c>
      <c r="K221" t="inlineStr">
        <is>
          <t>RANGO 3_6</t>
        </is>
      </c>
      <c r="L221" t="n">
        <v>0</v>
      </c>
      <c r="M221" t="n">
        <v>1</v>
      </c>
      <c r="N221" t="n">
        <v>2</v>
      </c>
      <c r="O221" t="n">
        <v>2</v>
      </c>
      <c r="P221" t="n">
        <v>1</v>
      </c>
      <c r="R221">
        <f>IF(G1438&gt;0,1-H1438/G1438,"")</f>
        <v/>
      </c>
      <c r="S221">
        <f>IF(G1438&gt;0,(G1438/1.18-I1438)/(G1438/1.18),"")</f>
        <v/>
      </c>
      <c r="T221">
        <f>IF(H1438&gt;0,(H1438/1.18-I1438)/(H1438/1.18),"")</f>
        <v/>
      </c>
      <c r="U221" t="inlineStr">
        <is>
          <t>NOOS</t>
        </is>
      </c>
      <c r="V221" t="n">
        <v>512.5599999999999</v>
      </c>
      <c r="W221" t="n">
        <v>40.18</v>
      </c>
      <c r="X221" t="n">
        <v>0.0784</v>
      </c>
    </row>
    <row r="222">
      <c r="A222" t="inlineStr">
        <is>
          <t>37067309</t>
        </is>
      </c>
      <c r="B222" t="inlineStr">
        <is>
          <t>PRODUCTO 24610B</t>
        </is>
      </c>
      <c r="C222" t="inlineStr">
        <is>
          <t>SELECTED</t>
        </is>
      </c>
      <c r="D222" t="inlineStr">
        <is>
          <t>CASACAS</t>
        </is>
      </c>
      <c r="E222" t="inlineStr">
        <is>
          <t>MARCAS CASUAL INTERNACIONAL HOMBRE</t>
        </is>
      </c>
      <c r="F222" t="n">
        <v>16</v>
      </c>
      <c r="G222" t="n">
        <v>299.99</v>
      </c>
      <c r="H222" t="n">
        <v>120</v>
      </c>
      <c r="I222" t="n">
        <v>86.77</v>
      </c>
      <c r="J222" t="inlineStr">
        <is>
          <t>OI</t>
        </is>
      </c>
      <c r="K222" t="inlineStr">
        <is>
          <t>RANGO 3_6</t>
        </is>
      </c>
      <c r="L222" t="n">
        <v>0</v>
      </c>
      <c r="M222" t="n">
        <v>7</v>
      </c>
      <c r="N222" t="n">
        <v>5</v>
      </c>
      <c r="O222" t="n">
        <v>6</v>
      </c>
      <c r="P222" t="n">
        <v>12</v>
      </c>
      <c r="R222">
        <f>IF(G1439&gt;0,1-H1439/G1439,"")</f>
        <v/>
      </c>
      <c r="S222">
        <f>IF(G1439&gt;0,(G1439/1.18-I1439)/(G1439/1.18),"")</f>
        <v/>
      </c>
      <c r="T222">
        <f>IF(H1439&gt;0,(H1439/1.18-I1439)/(H1439/1.18),"")</f>
        <v/>
      </c>
      <c r="U222" t="inlineStr">
        <is>
          <t>NOOS</t>
        </is>
      </c>
      <c r="V222" t="n">
        <v>2924.37</v>
      </c>
      <c r="W222" t="n">
        <v>321.27</v>
      </c>
      <c r="X222" t="n">
        <v>0.1099</v>
      </c>
    </row>
    <row r="223">
      <c r="A223" t="inlineStr">
        <is>
          <t>37076452</t>
        </is>
      </c>
      <c r="B223" t="inlineStr">
        <is>
          <t>PRODUCTO 96702F</t>
        </is>
      </c>
      <c r="C223" t="inlineStr">
        <is>
          <t>LACOSTE</t>
        </is>
      </c>
      <c r="D223" t="inlineStr">
        <is>
          <t>ACCESORIOS</t>
        </is>
      </c>
      <c r="E223" t="inlineStr">
        <is>
          <t>MARCAS CASUAL NACIONAL HOMBRE</t>
        </is>
      </c>
      <c r="F223" t="n">
        <v>25</v>
      </c>
      <c r="G223" t="n">
        <v>179</v>
      </c>
      <c r="H223" t="n">
        <v>107.4</v>
      </c>
      <c r="I223" t="n">
        <v>76</v>
      </c>
      <c r="J223" t="inlineStr">
        <is>
          <t>OI</t>
        </is>
      </c>
      <c r="K223" t="inlineStr">
        <is>
          <t>RANGO 3_6</t>
        </is>
      </c>
      <c r="L223" t="n">
        <v>0</v>
      </c>
      <c r="M223" t="n">
        <v>1</v>
      </c>
      <c r="N223" t="n">
        <v>1</v>
      </c>
      <c r="O223" t="n">
        <v>2</v>
      </c>
      <c r="P223" t="n">
        <v>1</v>
      </c>
      <c r="R223">
        <f>IF(G1444&gt;0,1-H1444/G1444,"")</f>
        <v/>
      </c>
      <c r="S223">
        <f>IF(G1444&gt;0,(G1444/1.18-I1444)/(G1444/1.18),"")</f>
        <v/>
      </c>
      <c r="T223">
        <f>IF(H1444&gt;0,(H1444/1.18-I1444)/(H1444/1.18),"")</f>
        <v/>
      </c>
      <c r="U223" t="inlineStr">
        <is>
          <t>NOOS</t>
        </is>
      </c>
      <c r="V223" t="n">
        <v>652.28</v>
      </c>
      <c r="W223" t="n">
        <v>272.28</v>
      </c>
      <c r="X223" t="n">
        <v>0.4174</v>
      </c>
    </row>
    <row r="224">
      <c r="A224" t="inlineStr">
        <is>
          <t>37076463</t>
        </is>
      </c>
      <c r="B224" t="inlineStr">
        <is>
          <t>PRODUCTO 2B9649</t>
        </is>
      </c>
      <c r="C224" t="inlineStr">
        <is>
          <t>LACOSTE</t>
        </is>
      </c>
      <c r="D224" t="inlineStr">
        <is>
          <t>ACCESORIOS</t>
        </is>
      </c>
      <c r="E224" t="inlineStr">
        <is>
          <t>MARCAS CASUAL NACIONAL HOMBRE</t>
        </is>
      </c>
      <c r="F224" t="n">
        <v>25</v>
      </c>
      <c r="G224" t="n">
        <v>179</v>
      </c>
      <c r="H224" t="n">
        <v>107.4</v>
      </c>
      <c r="I224" t="n">
        <v>76</v>
      </c>
      <c r="J224" t="inlineStr">
        <is>
          <t>OI</t>
        </is>
      </c>
      <c r="K224" t="inlineStr">
        <is>
          <t>RANGO 3_6</t>
        </is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R224">
        <f>IF(G1446&gt;0,1-H1446/G1446,"")</f>
        <v/>
      </c>
      <c r="S224">
        <f>IF(G1446&gt;0,(G1446/1.18-I1446)/(G1446/1.18),"")</f>
        <v/>
      </c>
      <c r="T224">
        <f>IF(H1446&gt;0,(H1446/1.18-I1446)/(H1446/1.18),"")</f>
        <v/>
      </c>
      <c r="U224" t="inlineStr">
        <is>
          <t>NOOS</t>
        </is>
      </c>
      <c r="V224" t="n">
        <v>348.9</v>
      </c>
      <c r="W224" t="n">
        <v>120.9</v>
      </c>
      <c r="X224" t="n">
        <v>0.3465</v>
      </c>
    </row>
    <row r="225">
      <c r="A225" t="inlineStr">
        <is>
          <t>37078226</t>
        </is>
      </c>
      <c r="B225" t="inlineStr">
        <is>
          <t>PRODUCTO 793DFE</t>
        </is>
      </c>
      <c r="C225" t="inlineStr">
        <is>
          <t>JOHN HOLDEN</t>
        </is>
      </c>
      <c r="D225" t="inlineStr">
        <is>
          <t>CASACAS</t>
        </is>
      </c>
      <c r="E225" t="inlineStr">
        <is>
          <t>MARCAS CASUAL NACIONAL HOMBRE</t>
        </is>
      </c>
      <c r="F225" t="n">
        <v>6</v>
      </c>
      <c r="G225" t="n">
        <v>549.9</v>
      </c>
      <c r="H225" t="n">
        <v>329.94</v>
      </c>
      <c r="I225" t="n">
        <v>248.08</v>
      </c>
      <c r="J225" t="inlineStr">
        <is>
          <t>OI</t>
        </is>
      </c>
      <c r="K225" t="inlineStr">
        <is>
          <t>RANGO 0_3</t>
        </is>
      </c>
      <c r="L225" t="n">
        <v>2</v>
      </c>
      <c r="M225" t="n">
        <v>2</v>
      </c>
      <c r="N225" t="n">
        <v>4</v>
      </c>
      <c r="O225" t="n">
        <v>18</v>
      </c>
      <c r="P225" t="n">
        <v>7</v>
      </c>
      <c r="R225">
        <f>IF(G1453&gt;0,1-H1453/G1453,"")</f>
        <v/>
      </c>
      <c r="S225">
        <f>IF(G1453&gt;0,(G1453/1.18-I1453)/(G1453/1.18),"")</f>
        <v/>
      </c>
      <c r="T225">
        <f>IF(H1453&gt;0,(H1453/1.18-I1453)/(H1453/1.18),"")</f>
        <v/>
      </c>
      <c r="U225" t="inlineStr">
        <is>
          <t>NOOS</t>
        </is>
      </c>
      <c r="V225" t="n">
        <v>5833.06</v>
      </c>
      <c r="W225" t="n">
        <v>-1858.02</v>
      </c>
      <c r="X225" t="n">
        <v>-0.3185</v>
      </c>
    </row>
    <row r="226">
      <c r="A226" t="inlineStr">
        <is>
          <t>37092694</t>
        </is>
      </c>
      <c r="B226" t="inlineStr">
        <is>
          <t>PRODUCTO D7AF5C</t>
        </is>
      </c>
      <c r="C226" t="inlineStr">
        <is>
          <t>OSCAR DE LA RENTA</t>
        </is>
      </c>
      <c r="D226" t="inlineStr">
        <is>
          <t>CAMISAS M/L</t>
        </is>
      </c>
      <c r="E226" t="inlineStr">
        <is>
          <t>MARCAS CASUAL INTERNACIONAL HOMBRE</t>
        </is>
      </c>
      <c r="F226" t="n">
        <v>16</v>
      </c>
      <c r="G226" t="n">
        <v>199.99</v>
      </c>
      <c r="H226" t="n">
        <v>99.98999999999999</v>
      </c>
      <c r="I226" t="n">
        <v>75.14</v>
      </c>
      <c r="J226" t="inlineStr">
        <is>
          <t>OI</t>
        </is>
      </c>
      <c r="K226" t="inlineStr">
        <is>
          <t>RANGO 3_6</t>
        </is>
      </c>
      <c r="L226" t="n">
        <v>11</v>
      </c>
      <c r="M226" t="n">
        <v>15</v>
      </c>
      <c r="N226" t="n">
        <v>11</v>
      </c>
      <c r="O226" t="n">
        <v>9</v>
      </c>
      <c r="P226" t="n">
        <v>15</v>
      </c>
      <c r="R226">
        <f>IF(G1459&gt;0,1-H1459/G1459,"")</f>
        <v/>
      </c>
      <c r="S226">
        <f>IF(G1459&gt;0,(G1459/1.18-I1459)/(G1459/1.18),"")</f>
        <v/>
      </c>
      <c r="T226">
        <f>IF(H1459&gt;0,(H1459/1.18-I1459)/(H1459/1.18),"")</f>
        <v/>
      </c>
      <c r="U226" t="inlineStr">
        <is>
          <t>NOOS</t>
        </is>
      </c>
      <c r="V226" t="n">
        <v>4725.02</v>
      </c>
      <c r="W226" t="n">
        <v>968.02</v>
      </c>
      <c r="X226" t="n">
        <v>0.2049</v>
      </c>
    </row>
    <row r="227">
      <c r="A227" t="inlineStr">
        <is>
          <t>37092815</t>
        </is>
      </c>
      <c r="B227" t="inlineStr">
        <is>
          <t>PRODUCTO 0245A1</t>
        </is>
      </c>
      <c r="C227" t="inlineStr">
        <is>
          <t>OSCAR DE LA RENTA</t>
        </is>
      </c>
      <c r="D227" t="inlineStr">
        <is>
          <t>POLOS M/C</t>
        </is>
      </c>
      <c r="E227" t="inlineStr">
        <is>
          <t>MARCAS CASUAL INTERNACIONAL HOMBRE</t>
        </is>
      </c>
      <c r="F227" t="n">
        <v>16</v>
      </c>
      <c r="G227" t="n">
        <v>199.99</v>
      </c>
      <c r="H227" t="n">
        <v>120</v>
      </c>
      <c r="I227" t="n">
        <v>69.20999999999999</v>
      </c>
      <c r="J227" t="inlineStr">
        <is>
          <t>OI</t>
        </is>
      </c>
      <c r="K227" t="inlineStr">
        <is>
          <t>RANGO 3_6</t>
        </is>
      </c>
      <c r="L227" t="n">
        <v>10</v>
      </c>
      <c r="M227" t="n">
        <v>4</v>
      </c>
      <c r="N227" t="n">
        <v>3</v>
      </c>
      <c r="O227" t="n">
        <v>3</v>
      </c>
      <c r="P227" t="n">
        <v>7</v>
      </c>
      <c r="R227">
        <f>IF(G1475&gt;0,1-H1475/G1475,"")</f>
        <v/>
      </c>
      <c r="S227">
        <f>IF(G1475&gt;0,(G1475/1.18-I1475)/(G1475/1.18),"")</f>
        <v/>
      </c>
      <c r="T227">
        <f>IF(H1475&gt;0,(H1475/1.18-I1475)/(H1475/1.18),"")</f>
        <v/>
      </c>
      <c r="U227" t="inlineStr">
        <is>
          <t>NOOS</t>
        </is>
      </c>
      <c r="V227" t="n">
        <v>1683.34</v>
      </c>
      <c r="W227" t="n">
        <v>506.77</v>
      </c>
      <c r="X227" t="n">
        <v>0.3011</v>
      </c>
    </row>
    <row r="228">
      <c r="A228" t="inlineStr">
        <is>
          <t>37097249</t>
        </is>
      </c>
      <c r="B228" t="inlineStr">
        <is>
          <t>PRODUCTO 2E75E4</t>
        </is>
      </c>
      <c r="C228" t="inlineStr">
        <is>
          <t>JOHN HOLDEN</t>
        </is>
      </c>
      <c r="D228" t="inlineStr">
        <is>
          <t>CASACAS</t>
        </is>
      </c>
      <c r="E228" t="inlineStr">
        <is>
          <t>MARCAS CASUAL NACIONAL HOMBRE</t>
        </is>
      </c>
      <c r="F228" t="n">
        <v>6</v>
      </c>
      <c r="G228" t="n">
        <v>229.9</v>
      </c>
      <c r="H228" t="n">
        <v>149.9</v>
      </c>
      <c r="I228" t="n">
        <v>90.36</v>
      </c>
      <c r="J228" t="inlineStr">
        <is>
          <t>OI</t>
        </is>
      </c>
      <c r="K228" t="inlineStr">
        <is>
          <t>RANGO 0_3</t>
        </is>
      </c>
      <c r="L228" t="n">
        <v>4</v>
      </c>
      <c r="M228" t="n">
        <v>14</v>
      </c>
      <c r="N228" t="n">
        <v>16</v>
      </c>
      <c r="O228" t="n">
        <v>21</v>
      </c>
      <c r="P228" t="n">
        <v>20</v>
      </c>
      <c r="R228">
        <f>IF(G1480&gt;0,1-H1480/G1480,"")</f>
        <v/>
      </c>
      <c r="S228">
        <f>IF(G1480&gt;0,(G1480/1.18-I1480)/(G1480/1.18),"")</f>
        <v/>
      </c>
      <c r="T228">
        <f>IF(H1480&gt;0,(H1480/1.18-I1480)/(H1480/1.18),"")</f>
        <v/>
      </c>
      <c r="U228" t="inlineStr">
        <is>
          <t>NOOS</t>
        </is>
      </c>
      <c r="V228" t="n">
        <v>8765.26</v>
      </c>
      <c r="W228" t="n">
        <v>2304.68</v>
      </c>
      <c r="X228" t="n">
        <v>0.2629</v>
      </c>
    </row>
    <row r="229">
      <c r="A229" t="inlineStr">
        <is>
          <t>37133243</t>
        </is>
      </c>
      <c r="B229" t="inlineStr">
        <is>
          <t>PRODUCTO 70B50D</t>
        </is>
      </c>
      <c r="C229" t="inlineStr">
        <is>
          <t>DOCKERS</t>
        </is>
      </c>
      <c r="D229" t="inlineStr">
        <is>
          <t>ACCESORIOS</t>
        </is>
      </c>
      <c r="E229" t="inlineStr">
        <is>
          <t>MARCAS CASUAL NACIONAL HOMBRE</t>
        </is>
      </c>
      <c r="F229" t="n">
        <v>8</v>
      </c>
      <c r="G229" t="n">
        <v>109</v>
      </c>
      <c r="H229" t="n">
        <v>65.40000000000001</v>
      </c>
      <c r="I229" t="n">
        <v>55.42</v>
      </c>
      <c r="J229" t="inlineStr">
        <is>
          <t>OI</t>
        </is>
      </c>
      <c r="K229" t="inlineStr">
        <is>
          <t>RANGO 0_3</t>
        </is>
      </c>
      <c r="L229" t="n">
        <v>11</v>
      </c>
      <c r="M229" t="n">
        <v>9</v>
      </c>
      <c r="N229" t="n">
        <v>9</v>
      </c>
      <c r="O229" t="n">
        <v>6</v>
      </c>
      <c r="P229" t="n">
        <v>1</v>
      </c>
      <c r="R229">
        <f>IF(G1491&gt;0,1-H1491/G1491,"")</f>
        <v/>
      </c>
      <c r="S229">
        <f>IF(G1491&gt;0,(G1491/1.18-I1491)/(G1491/1.18),"")</f>
        <v/>
      </c>
      <c r="T229">
        <f>IF(H1491&gt;0,(H1491/1.18-I1491)/(H1491/1.18),"")</f>
        <v/>
      </c>
      <c r="U229" t="inlineStr">
        <is>
          <t>NOOS</t>
        </is>
      </c>
      <c r="V229" t="n">
        <v>1385.51</v>
      </c>
      <c r="W229" t="n">
        <v>0.01</v>
      </c>
      <c r="X229" t="n">
        <v>0</v>
      </c>
    </row>
    <row r="230">
      <c r="A230" t="inlineStr">
        <is>
          <t>37133325</t>
        </is>
      </c>
      <c r="B230" t="inlineStr">
        <is>
          <t>PRODUCTO 6E482E</t>
        </is>
      </c>
      <c r="C230" t="inlineStr">
        <is>
          <t>DOCKERS</t>
        </is>
      </c>
      <c r="D230" t="inlineStr">
        <is>
          <t>PANTALONES</t>
        </is>
      </c>
      <c r="E230" t="inlineStr">
        <is>
          <t>MARCAS CASUAL NACIONAL HOMBRE</t>
        </is>
      </c>
      <c r="F230" t="n">
        <v>8</v>
      </c>
      <c r="G230" t="n">
        <v>299</v>
      </c>
      <c r="H230" t="n">
        <v>299</v>
      </c>
      <c r="I230" t="n">
        <v>152.03</v>
      </c>
      <c r="J230" t="inlineStr">
        <is>
          <t>TT</t>
        </is>
      </c>
      <c r="K230" t="inlineStr">
        <is>
          <t>RANGO 0_3</t>
        </is>
      </c>
      <c r="L230" t="n">
        <v>13</v>
      </c>
      <c r="M230" t="n">
        <v>0</v>
      </c>
      <c r="N230" t="n">
        <v>1</v>
      </c>
      <c r="O230" t="n">
        <v>2</v>
      </c>
      <c r="P230" t="n">
        <v>2</v>
      </c>
      <c r="R230">
        <f>IF(G1502&gt;0,1-H1502/G1502,"")</f>
        <v/>
      </c>
      <c r="S230">
        <f>IF(G1502&gt;0,(G1502/1.18-I1502)/(G1502/1.18),"")</f>
        <v/>
      </c>
      <c r="T230">
        <f>IF(H1502&gt;0,(H1502/1.18-I1502)/(H1502/1.18),"")</f>
        <v/>
      </c>
      <c r="U230" t="inlineStr">
        <is>
          <t>NOOS</t>
        </is>
      </c>
      <c r="V230" t="n">
        <v>1148.64</v>
      </c>
      <c r="W230" t="n">
        <v>388.49</v>
      </c>
      <c r="X230" t="n">
        <v>0.3382</v>
      </c>
    </row>
    <row r="231">
      <c r="A231" t="inlineStr">
        <is>
          <t>37133335</t>
        </is>
      </c>
      <c r="B231" t="inlineStr">
        <is>
          <t>PRODUCTO 325045</t>
        </is>
      </c>
      <c r="C231" t="inlineStr">
        <is>
          <t>DOCKERS</t>
        </is>
      </c>
      <c r="D231" t="inlineStr">
        <is>
          <t>PANTALONES</t>
        </is>
      </c>
      <c r="E231" t="inlineStr">
        <is>
          <t>MARCAS CASUAL NACIONAL HOMBRE</t>
        </is>
      </c>
      <c r="F231" t="n">
        <v>8</v>
      </c>
      <c r="G231" t="n">
        <v>299</v>
      </c>
      <c r="H231" t="n">
        <v>299</v>
      </c>
      <c r="I231" t="n">
        <v>152.03</v>
      </c>
      <c r="J231" t="inlineStr">
        <is>
          <t>TT</t>
        </is>
      </c>
      <c r="K231" t="inlineStr">
        <is>
          <t>RANGO 0_3</t>
        </is>
      </c>
      <c r="L231" t="n">
        <v>12</v>
      </c>
      <c r="M231" t="n">
        <v>0</v>
      </c>
      <c r="N231" t="n">
        <v>0</v>
      </c>
      <c r="O231" t="n">
        <v>3</v>
      </c>
      <c r="P231" t="n">
        <v>2</v>
      </c>
      <c r="R231">
        <f>IF(G1503&gt;0,1-H1503/G1503,"")</f>
        <v/>
      </c>
      <c r="S231">
        <f>IF(G1503&gt;0,(G1503/1.18-I1503)/(G1503/1.18),"")</f>
        <v/>
      </c>
      <c r="T231">
        <f>IF(H1503&gt;0,(H1503/1.18-I1503)/(H1503/1.18),"")</f>
        <v/>
      </c>
      <c r="U231" t="inlineStr">
        <is>
          <t>NOOS</t>
        </is>
      </c>
      <c r="V231" t="n">
        <v>1114.74</v>
      </c>
      <c r="W231" t="n">
        <v>354.59</v>
      </c>
      <c r="X231" t="n">
        <v>0.3181</v>
      </c>
    </row>
    <row r="232">
      <c r="A232" t="inlineStr">
        <is>
          <t>37140364</t>
        </is>
      </c>
      <c r="B232" t="inlineStr">
        <is>
          <t>PRODUCTO F62A77</t>
        </is>
      </c>
      <c r="C232" t="inlineStr">
        <is>
          <t>MARQUIS</t>
        </is>
      </c>
      <c r="D232" t="inlineStr">
        <is>
          <t>CASACAS</t>
        </is>
      </c>
      <c r="E232" t="inlineStr">
        <is>
          <t>MARQUIS HOMBRE</t>
        </is>
      </c>
      <c r="F232" t="n">
        <v>2</v>
      </c>
      <c r="G232" t="n">
        <v>229.99</v>
      </c>
      <c r="H232" t="n">
        <v>139.99</v>
      </c>
      <c r="I232" t="n">
        <v>58.56</v>
      </c>
      <c r="J232" t="inlineStr">
        <is>
          <t>PV</t>
        </is>
      </c>
      <c r="K232" t="inlineStr">
        <is>
          <t>RANGO 0_3</t>
        </is>
      </c>
      <c r="L232" t="n">
        <v>106</v>
      </c>
      <c r="M232" t="n">
        <v>12</v>
      </c>
      <c r="N232" t="n">
        <v>3</v>
      </c>
      <c r="O232" t="n">
        <v>0</v>
      </c>
      <c r="P232" t="n">
        <v>0</v>
      </c>
      <c r="R232">
        <f>IF(G1525&gt;0,1-H1525/G1525,"")</f>
        <v/>
      </c>
      <c r="S232">
        <f>IF(G1525&gt;0,(G1525/1.18-I1525)/(G1525/1.18),"")</f>
        <v/>
      </c>
      <c r="T232">
        <f>IF(H1525&gt;0,(H1525/1.18-I1525)/(H1525/1.18),"")</f>
        <v/>
      </c>
      <c r="U232" t="inlineStr">
        <is>
          <t>NOOS</t>
        </is>
      </c>
      <c r="V232" t="n">
        <v>1227.52</v>
      </c>
      <c r="W232" t="n">
        <v>316.79</v>
      </c>
      <c r="X232" t="n">
        <v>0.2581</v>
      </c>
    </row>
    <row r="233">
      <c r="A233" t="inlineStr">
        <is>
          <t>37176688</t>
        </is>
      </c>
      <c r="B233" t="inlineStr">
        <is>
          <t>PRODUCTO 4CF46A</t>
        </is>
      </c>
      <c r="C233" t="inlineStr">
        <is>
          <t>MARQUIS</t>
        </is>
      </c>
      <c r="D233" t="inlineStr">
        <is>
          <t>POLOS M/C</t>
        </is>
      </c>
      <c r="E233" t="inlineStr">
        <is>
          <t>MARQUIS HOMBRE</t>
        </is>
      </c>
      <c r="F233" t="n">
        <v>2</v>
      </c>
      <c r="G233" t="n">
        <v>89.98999999999999</v>
      </c>
      <c r="H233" t="n">
        <v>69.98999999999999</v>
      </c>
      <c r="I233" t="n">
        <v>21.06</v>
      </c>
      <c r="J233" t="inlineStr">
        <is>
          <t>PV</t>
        </is>
      </c>
      <c r="K233" t="inlineStr">
        <is>
          <t>RANGO 0_3</t>
        </is>
      </c>
      <c r="L233" t="n">
        <v>196</v>
      </c>
      <c r="M233" t="n">
        <v>154</v>
      </c>
      <c r="N233" t="n">
        <v>78</v>
      </c>
      <c r="O233" t="n">
        <v>12</v>
      </c>
      <c r="P233" t="n">
        <v>0</v>
      </c>
      <c r="R233">
        <f>IF(G1540&gt;0,1-H1540/G1540,"")</f>
        <v/>
      </c>
      <c r="S233">
        <f>IF(G1540&gt;0,(G1540/1.18-I1540)/(G1540/1.18),"")</f>
        <v/>
      </c>
      <c r="T233">
        <f>IF(H1540&gt;0,(H1540/1.18-I1540)/(H1540/1.18),"")</f>
        <v/>
      </c>
      <c r="U233" t="inlineStr">
        <is>
          <t>NOOS</t>
        </is>
      </c>
      <c r="V233" t="n">
        <v>12262.63</v>
      </c>
      <c r="W233" t="n">
        <v>7094.55</v>
      </c>
      <c r="X233" t="n">
        <v>0.5786</v>
      </c>
    </row>
    <row r="234">
      <c r="A234" t="inlineStr">
        <is>
          <t>37181861</t>
        </is>
      </c>
      <c r="B234" t="inlineStr">
        <is>
          <t>PRODUCTO 6DC3C7</t>
        </is>
      </c>
      <c r="C234" t="inlineStr">
        <is>
          <t>LACOSTE</t>
        </is>
      </c>
      <c r="D234" t="inlineStr">
        <is>
          <t>POLERONES</t>
        </is>
      </c>
      <c r="E234" t="inlineStr">
        <is>
          <t>MARCAS CASUAL NACIONAL HOMBRE</t>
        </is>
      </c>
      <c r="F234" t="n">
        <v>16</v>
      </c>
      <c r="G234" t="n">
        <v>549.99</v>
      </c>
      <c r="H234" t="n">
        <v>279.99</v>
      </c>
      <c r="I234" t="n">
        <v>186</v>
      </c>
      <c r="J234" t="inlineStr">
        <is>
          <t>OI</t>
        </is>
      </c>
      <c r="K234" t="inlineStr">
        <is>
          <t>RANGO 3_6</t>
        </is>
      </c>
      <c r="L234" t="n">
        <v>88</v>
      </c>
      <c r="M234" t="n">
        <v>11</v>
      </c>
      <c r="N234" t="n">
        <v>12</v>
      </c>
      <c r="O234" t="n">
        <v>7</v>
      </c>
      <c r="P234" t="n">
        <v>11</v>
      </c>
      <c r="R234">
        <f>IF(G1559&gt;0,1-H1559/G1559,"")</f>
        <v/>
      </c>
      <c r="S234">
        <f>IF(G1559&gt;0,(G1559/1.18-I1559)/(G1559/1.18),"")</f>
        <v/>
      </c>
      <c r="T234">
        <f>IF(H1559&gt;0,(H1559/1.18-I1559)/(H1559/1.18),"")</f>
        <v/>
      </c>
      <c r="U234" t="inlineStr">
        <is>
          <t>NOOS</t>
        </is>
      </c>
      <c r="V234" t="n">
        <v>9786.030000000001</v>
      </c>
      <c r="W234" t="n">
        <v>2160.03</v>
      </c>
      <c r="X234" t="n">
        <v>0.2207</v>
      </c>
    </row>
    <row r="235">
      <c r="A235" t="inlineStr">
        <is>
          <t>37186804</t>
        </is>
      </c>
      <c r="B235" t="inlineStr">
        <is>
          <t>PRODUCTO 714B85</t>
        </is>
      </c>
      <c r="C235" t="inlineStr">
        <is>
          <t>DOCKERS</t>
        </is>
      </c>
      <c r="D235" t="inlineStr">
        <is>
          <t>ACCESORIOS</t>
        </is>
      </c>
      <c r="E235" t="inlineStr">
        <is>
          <t>MARCAS CASUAL NACIONAL HOMBRE</t>
        </is>
      </c>
      <c r="F235" t="n">
        <v>18</v>
      </c>
      <c r="G235" t="n">
        <v>99</v>
      </c>
      <c r="H235" t="n">
        <v>49.5</v>
      </c>
      <c r="I235" t="n">
        <v>50.34</v>
      </c>
      <c r="J235" t="inlineStr">
        <is>
          <t>OI</t>
        </is>
      </c>
      <c r="K235" t="inlineStr">
        <is>
          <t>RANGO 3_6</t>
        </is>
      </c>
      <c r="L235" t="n">
        <v>69</v>
      </c>
      <c r="M235" t="n">
        <v>1</v>
      </c>
      <c r="N235" t="n">
        <v>1</v>
      </c>
      <c r="O235" t="n">
        <v>1</v>
      </c>
      <c r="P235" t="n">
        <v>0</v>
      </c>
      <c r="R235">
        <f>IF(G1565&gt;0,1-H1565/G1565,"")</f>
        <v/>
      </c>
      <c r="S235">
        <f>IF(G1565&gt;0,(G1565/1.18-I1565)/(G1565/1.18),"")</f>
        <v/>
      </c>
      <c r="T235">
        <f>IF(H1565&gt;0,(H1565/1.18-I1565)/(H1565/1.18),"")</f>
        <v/>
      </c>
      <c r="U235" t="inlineStr">
        <is>
          <t>NOOS</t>
        </is>
      </c>
      <c r="V235" t="n">
        <v>125.85</v>
      </c>
      <c r="W235" t="n">
        <v>-25.17</v>
      </c>
      <c r="X235" t="n">
        <v>-0.2</v>
      </c>
    </row>
    <row r="236">
      <c r="A236" t="inlineStr">
        <is>
          <t>37198760</t>
        </is>
      </c>
      <c r="B236" t="inlineStr">
        <is>
          <t>PRODUCTO 3FEB4E</t>
        </is>
      </c>
      <c r="C236" t="inlineStr">
        <is>
          <t>JOHN HOLDEN</t>
        </is>
      </c>
      <c r="D236" t="inlineStr">
        <is>
          <t>CAMISAS M/L</t>
        </is>
      </c>
      <c r="E236" t="inlineStr">
        <is>
          <t>MARCAS CASUAL NACIONAL HOMBRE</t>
        </is>
      </c>
      <c r="F236" t="n">
        <v>3</v>
      </c>
      <c r="G236" t="n">
        <v>149.9</v>
      </c>
      <c r="H236" t="n">
        <v>149.9</v>
      </c>
      <c r="I236" t="n">
        <v>46.9</v>
      </c>
      <c r="J236" t="inlineStr">
        <is>
          <t>OI</t>
        </is>
      </c>
      <c r="K236" t="inlineStr">
        <is>
          <t>RANGO 0_3</t>
        </is>
      </c>
      <c r="L236" t="n">
        <v>2</v>
      </c>
      <c r="M236" t="n">
        <v>15</v>
      </c>
      <c r="N236" t="n">
        <v>6</v>
      </c>
      <c r="O236" t="n">
        <v>6</v>
      </c>
      <c r="P236" t="n">
        <v>9</v>
      </c>
      <c r="R236">
        <f>IF(G1588&gt;0,1-H1588/G1588,"")</f>
        <v/>
      </c>
      <c r="S236">
        <f>IF(G1588&gt;0,(G1588/1.18-I1588)/(G1588/1.18),"")</f>
        <v/>
      </c>
      <c r="T236">
        <f>IF(H1588&gt;0,(H1588/1.18-I1588)/(H1588/1.18),"")</f>
        <v/>
      </c>
      <c r="U236" t="inlineStr">
        <is>
          <t>NOOS</t>
        </is>
      </c>
      <c r="V236" t="n">
        <v>3473.28</v>
      </c>
      <c r="W236" t="n">
        <v>1784.88</v>
      </c>
      <c r="X236" t="n">
        <v>0.5139</v>
      </c>
    </row>
    <row r="237">
      <c r="A237" t="inlineStr">
        <is>
          <t>37198784</t>
        </is>
      </c>
      <c r="B237" t="inlineStr">
        <is>
          <t>PRODUCTO F9A206</t>
        </is>
      </c>
      <c r="C237" t="inlineStr">
        <is>
          <t>JOHN HOLDEN</t>
        </is>
      </c>
      <c r="D237" t="inlineStr">
        <is>
          <t>CAMISAS M/L</t>
        </is>
      </c>
      <c r="E237" t="inlineStr">
        <is>
          <t>MARCAS CASUAL NACIONAL HOMBRE</t>
        </is>
      </c>
      <c r="F237" t="n">
        <v>3</v>
      </c>
      <c r="G237" t="n">
        <v>189.9</v>
      </c>
      <c r="H237" t="n">
        <v>189.9</v>
      </c>
      <c r="I237" t="n">
        <v>46.9</v>
      </c>
      <c r="J237" t="inlineStr">
        <is>
          <t>OI</t>
        </is>
      </c>
      <c r="K237" t="inlineStr">
        <is>
          <t>RANGO 0_3</t>
        </is>
      </c>
      <c r="L237" t="n">
        <v>5</v>
      </c>
      <c r="M237" t="n">
        <v>19</v>
      </c>
      <c r="N237" t="n">
        <v>29</v>
      </c>
      <c r="O237" t="n">
        <v>16</v>
      </c>
      <c r="P237" t="n">
        <v>31</v>
      </c>
      <c r="R237">
        <f>IF(G1592&gt;0,1-H1592/G1592,"")</f>
        <v/>
      </c>
      <c r="S237">
        <f>IF(G1592&gt;0,(G1592/1.18-I1592)/(G1592/1.18),"")</f>
        <v/>
      </c>
      <c r="T237">
        <f>IF(H1592&gt;0,(H1592/1.18-I1592)/(H1592/1.18),"")</f>
        <v/>
      </c>
      <c r="U237" t="inlineStr">
        <is>
          <t>NOOS</t>
        </is>
      </c>
      <c r="V237" t="n">
        <v>8789.25</v>
      </c>
      <c r="W237" t="n">
        <v>4333.75</v>
      </c>
      <c r="X237" t="n">
        <v>0.4931</v>
      </c>
    </row>
    <row r="238">
      <c r="A238" t="inlineStr">
        <is>
          <t>37198808</t>
        </is>
      </c>
      <c r="B238" t="inlineStr">
        <is>
          <t>PRODUCTO CAFF7F</t>
        </is>
      </c>
      <c r="C238" t="inlineStr">
        <is>
          <t>JOHN HOLDEN</t>
        </is>
      </c>
      <c r="D238" t="inlineStr">
        <is>
          <t>CASACAS</t>
        </is>
      </c>
      <c r="E238" t="inlineStr">
        <is>
          <t>MARCAS CASUAL NACIONAL HOMBRE</t>
        </is>
      </c>
      <c r="F238" t="n">
        <v>16</v>
      </c>
      <c r="G238" t="n">
        <v>249.9</v>
      </c>
      <c r="H238" t="n">
        <v>149.94</v>
      </c>
      <c r="I238" t="n">
        <v>117.66</v>
      </c>
      <c r="J238" t="inlineStr">
        <is>
          <t>OI</t>
        </is>
      </c>
      <c r="K238" t="inlineStr">
        <is>
          <t>RANGO 3_6</t>
        </is>
      </c>
      <c r="L238" t="n">
        <v>1</v>
      </c>
      <c r="M238" t="n">
        <v>0</v>
      </c>
      <c r="N238" t="n">
        <v>1</v>
      </c>
      <c r="O238" t="n">
        <v>6</v>
      </c>
      <c r="P238" t="n">
        <v>3</v>
      </c>
      <c r="R238">
        <f>IF(G1596&gt;0,1-H1596/G1596,"")</f>
        <v/>
      </c>
      <c r="S238">
        <f>IF(G1596&gt;0,(G1596/1.18-I1596)/(G1596/1.18),"")</f>
        <v/>
      </c>
      <c r="T238">
        <f>IF(H1596&gt;0,(H1596/1.18-I1596)/(H1596/1.18),"")</f>
        <v/>
      </c>
      <c r="U238" t="inlineStr">
        <is>
          <t>NOOS</t>
        </is>
      </c>
      <c r="V238" t="n">
        <v>1088.49</v>
      </c>
      <c r="W238" t="n">
        <v>-88.11</v>
      </c>
      <c r="X238" t="n">
        <v>-0.0809</v>
      </c>
    </row>
    <row r="239">
      <c r="A239" t="inlineStr">
        <is>
          <t>37218777</t>
        </is>
      </c>
      <c r="B239" t="inlineStr">
        <is>
          <t>PRODUCTO 5B1C5A</t>
        </is>
      </c>
      <c r="C239" t="inlineStr">
        <is>
          <t>NAUTICA</t>
        </is>
      </c>
      <c r="D239" t="inlineStr">
        <is>
          <t>CAMISAS M/L</t>
        </is>
      </c>
      <c r="E239" t="inlineStr">
        <is>
          <t>MARCAS CASUAL INTERNACIONAL HOMBRE</t>
        </is>
      </c>
      <c r="F239" t="n">
        <v>11</v>
      </c>
      <c r="G239" t="n">
        <v>299.99</v>
      </c>
      <c r="H239" t="n">
        <v>229.99</v>
      </c>
      <c r="I239" t="n">
        <v>99.84999999999999</v>
      </c>
      <c r="J239" t="inlineStr">
        <is>
          <t>TT</t>
        </is>
      </c>
      <c r="K239" t="inlineStr">
        <is>
          <t>RANGO 0_3</t>
        </is>
      </c>
      <c r="L239" t="n">
        <v>0</v>
      </c>
      <c r="M239" t="n">
        <v>8</v>
      </c>
      <c r="N239" t="n">
        <v>2</v>
      </c>
      <c r="O239" t="n">
        <v>5</v>
      </c>
      <c r="P239" t="n">
        <v>9</v>
      </c>
      <c r="R239">
        <f>IF(G1620&gt;0,1-H1620/G1620,"")</f>
        <v/>
      </c>
      <c r="S239">
        <f>IF(G1620&gt;0,(G1620/1.18-I1620)/(G1620/1.18),"")</f>
        <v/>
      </c>
      <c r="T239">
        <f>IF(H1620&gt;0,(H1620/1.18-I1620)/(H1620/1.18),"")</f>
        <v/>
      </c>
      <c r="U239" t="inlineStr">
        <is>
          <t>NOOS</t>
        </is>
      </c>
      <c r="V239" t="n">
        <v>4645.46</v>
      </c>
      <c r="W239" t="n">
        <v>2251.25</v>
      </c>
      <c r="X239" t="n">
        <v>0.4846</v>
      </c>
    </row>
    <row r="240">
      <c r="A240" t="inlineStr">
        <is>
          <t>37227013</t>
        </is>
      </c>
      <c r="B240" t="inlineStr">
        <is>
          <t>PRODUCTO FE2A5F</t>
        </is>
      </c>
      <c r="C240" t="inlineStr">
        <is>
          <t>PIERRE CARDIN</t>
        </is>
      </c>
      <c r="D240" t="inlineStr">
        <is>
          <t>CAMISAS M/L</t>
        </is>
      </c>
      <c r="E240" t="inlineStr">
        <is>
          <t>MARCAS CASUAL NACIONAL HOMBRE</t>
        </is>
      </c>
      <c r="F240" t="n">
        <v>5</v>
      </c>
      <c r="G240" t="n">
        <v>289</v>
      </c>
      <c r="H240" t="n">
        <v>99</v>
      </c>
      <c r="I240" t="n">
        <v>159.2</v>
      </c>
      <c r="J240" t="inlineStr">
        <is>
          <t>OI</t>
        </is>
      </c>
      <c r="K240" t="inlineStr">
        <is>
          <t>RANGO 0_3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R240">
        <f>IF(G1628&gt;0,1-H1628/G1628,"")</f>
        <v/>
      </c>
      <c r="S240">
        <f>IF(G1628&gt;0,(G1628/1.18-I1628)/(G1628/1.18),"")</f>
        <v/>
      </c>
      <c r="T240">
        <f>IF(H1628&gt;0,(H1628/1.18-I1628)/(H1628/1.18),"")</f>
        <v/>
      </c>
      <c r="U240" t="inlineStr">
        <is>
          <t>NOOS</t>
        </is>
      </c>
      <c r="V240" t="n">
        <v>0</v>
      </c>
      <c r="W240" t="n">
        <v>0</v>
      </c>
    </row>
    <row r="241">
      <c r="A241" t="inlineStr">
        <is>
          <t>37227052</t>
        </is>
      </c>
      <c r="B241" t="inlineStr">
        <is>
          <t>PRODUCTO 3E06C6</t>
        </is>
      </c>
      <c r="C241" t="inlineStr">
        <is>
          <t>PIERRE CARDIN</t>
        </is>
      </c>
      <c r="D241" t="inlineStr">
        <is>
          <t>CAMISAS M/L</t>
        </is>
      </c>
      <c r="E241" t="inlineStr">
        <is>
          <t>MARCAS CASUAL NACIONAL HOMBRE</t>
        </is>
      </c>
      <c r="F241" t="n">
        <v>17</v>
      </c>
      <c r="G241" t="n">
        <v>249</v>
      </c>
      <c r="H241" t="n">
        <v>99</v>
      </c>
      <c r="I241" t="n">
        <v>137.16</v>
      </c>
      <c r="J241" t="inlineStr">
        <is>
          <t>OI</t>
        </is>
      </c>
      <c r="K241" t="inlineStr">
        <is>
          <t>RANGO 3_6</t>
        </is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R241">
        <f>IF(G1631&gt;0,1-H1631/G1631,"")</f>
        <v/>
      </c>
      <c r="S241">
        <f>IF(G1631&gt;0,(G1631/1.18-I1631)/(G1631/1.18),"")</f>
        <v/>
      </c>
      <c r="T241">
        <f>IF(H1631&gt;0,(H1631/1.18-I1631)/(H1631/1.18),"")</f>
        <v/>
      </c>
      <c r="U241" t="inlineStr">
        <is>
          <t>NOOS</t>
        </is>
      </c>
      <c r="V241" t="n">
        <v>83.90000000000001</v>
      </c>
      <c r="W241" t="n">
        <v>29.37</v>
      </c>
      <c r="X241" t="n">
        <v>0.3501</v>
      </c>
    </row>
    <row r="242">
      <c r="A242" t="inlineStr">
        <is>
          <t>37227071</t>
        </is>
      </c>
      <c r="B242" t="inlineStr">
        <is>
          <t>PRODUCTO 226180</t>
        </is>
      </c>
      <c r="C242" t="inlineStr">
        <is>
          <t>PIERRE CARDIN</t>
        </is>
      </c>
      <c r="D242" t="inlineStr">
        <is>
          <t>CAMISAS M/L</t>
        </is>
      </c>
      <c r="E242" t="inlineStr">
        <is>
          <t>MARCAS CASUAL NACIONAL HOMBRE</t>
        </is>
      </c>
      <c r="F242" t="n">
        <v>17</v>
      </c>
      <c r="G242" t="n">
        <v>249</v>
      </c>
      <c r="H242" t="n">
        <v>99</v>
      </c>
      <c r="I242" t="n">
        <v>137.16</v>
      </c>
      <c r="J242" t="inlineStr">
        <is>
          <t>OI</t>
        </is>
      </c>
      <c r="K242" t="inlineStr">
        <is>
          <t>RANGO 3_6</t>
        </is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R242">
        <f>IF(G1632&gt;0,1-H1632/G1632,"")</f>
        <v/>
      </c>
      <c r="S242">
        <f>IF(G1632&gt;0,(G1632/1.18-I1632)/(G1632/1.18),"")</f>
        <v/>
      </c>
      <c r="T242">
        <f>IF(H1632&gt;0,(H1632/1.18-I1632)/(H1632/1.18),"")</f>
        <v/>
      </c>
      <c r="U242" t="inlineStr">
        <is>
          <t>NOOS</t>
        </is>
      </c>
      <c r="V242" t="n">
        <v>83.90000000000001</v>
      </c>
      <c r="W242" t="n">
        <v>29.37</v>
      </c>
      <c r="X242" t="n">
        <v>0.3501</v>
      </c>
    </row>
    <row r="243">
      <c r="A243" t="inlineStr">
        <is>
          <t>37227098</t>
        </is>
      </c>
      <c r="B243" t="inlineStr">
        <is>
          <t>PRODUCTO CEFFEA</t>
        </is>
      </c>
      <c r="C243" t="inlineStr">
        <is>
          <t>PIERRE CARDIN</t>
        </is>
      </c>
      <c r="D243" t="inlineStr">
        <is>
          <t>CAMISAS M/L</t>
        </is>
      </c>
      <c r="E243" t="inlineStr">
        <is>
          <t>MARCAS CASUAL NACIONAL HOMBRE</t>
        </is>
      </c>
      <c r="F243" t="n">
        <v>17</v>
      </c>
      <c r="G243" t="n">
        <v>249</v>
      </c>
      <c r="H243" t="n">
        <v>99</v>
      </c>
      <c r="I243" t="n">
        <v>137.16</v>
      </c>
      <c r="J243" t="inlineStr">
        <is>
          <t>OI</t>
        </is>
      </c>
      <c r="K243" t="inlineStr">
        <is>
          <t>RANGO 3_6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R243">
        <f>IF(G1635&gt;0,1-H1635/G1635,"")</f>
        <v/>
      </c>
      <c r="S243">
        <f>IF(G1635&gt;0,(G1635/1.18-I1635)/(G1635/1.18),"")</f>
        <v/>
      </c>
      <c r="T243">
        <f>IF(H1635&gt;0,(H1635/1.18-I1635)/(H1635/1.18),"")</f>
        <v/>
      </c>
      <c r="U243" t="inlineStr">
        <is>
          <t>NOOS</t>
        </is>
      </c>
      <c r="V243" t="n">
        <v>0</v>
      </c>
      <c r="W243" t="n">
        <v>0</v>
      </c>
    </row>
    <row r="244">
      <c r="A244" t="inlineStr">
        <is>
          <t>37227148</t>
        </is>
      </c>
      <c r="B244" t="inlineStr">
        <is>
          <t>PRODUCTO AF056F</t>
        </is>
      </c>
      <c r="C244" t="inlineStr">
        <is>
          <t>PIERRE CARDIN</t>
        </is>
      </c>
      <c r="D244" t="inlineStr">
        <is>
          <t>CAMISAS M/L</t>
        </is>
      </c>
      <c r="E244" t="inlineStr">
        <is>
          <t>MARCAS CASUAL NACIONAL HOMBRE</t>
        </is>
      </c>
      <c r="F244" t="n">
        <v>17</v>
      </c>
      <c r="G244" t="n">
        <v>249</v>
      </c>
      <c r="H244" t="n">
        <v>99</v>
      </c>
      <c r="I244" t="n">
        <v>137.16</v>
      </c>
      <c r="J244" t="inlineStr">
        <is>
          <t>OI</t>
        </is>
      </c>
      <c r="K244" t="inlineStr">
        <is>
          <t>RANGO 3_6</t>
        </is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R244">
        <f>IF(G1637&gt;0,1-H1637/G1637,"")</f>
        <v/>
      </c>
      <c r="S244">
        <f>IF(G1637&gt;0,(G1637/1.18-I1637)/(G1637/1.18),"")</f>
        <v/>
      </c>
      <c r="T244">
        <f>IF(H1637&gt;0,(H1637/1.18-I1637)/(H1637/1.18),"")</f>
        <v/>
      </c>
      <c r="U244" t="inlineStr">
        <is>
          <t>NOOS</t>
        </is>
      </c>
      <c r="V244" t="n">
        <v>167.8</v>
      </c>
      <c r="W244" t="n">
        <v>58.74</v>
      </c>
      <c r="X244" t="n">
        <v>0.3501</v>
      </c>
    </row>
    <row r="245">
      <c r="A245" t="inlineStr">
        <is>
          <t>37227192</t>
        </is>
      </c>
      <c r="B245" t="inlineStr">
        <is>
          <t>PRODUCTO FFF922</t>
        </is>
      </c>
      <c r="C245" t="inlineStr">
        <is>
          <t>PIERRE CARDIN</t>
        </is>
      </c>
      <c r="D245" t="inlineStr">
        <is>
          <t>CAMISAS M/L</t>
        </is>
      </c>
      <c r="E245" t="inlineStr">
        <is>
          <t>MARCAS CASUAL NACIONAL HOMBRE</t>
        </is>
      </c>
      <c r="F245" t="n">
        <v>17</v>
      </c>
      <c r="G245" t="n">
        <v>249</v>
      </c>
      <c r="H245" t="n">
        <v>99</v>
      </c>
      <c r="I245" t="n">
        <v>137.16</v>
      </c>
      <c r="J245" t="inlineStr">
        <is>
          <t>OI</t>
        </is>
      </c>
      <c r="K245" t="inlineStr">
        <is>
          <t>RANGO 3_6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R245">
        <f>IF(G1639&gt;0,1-H1639/G1639,"")</f>
        <v/>
      </c>
      <c r="S245">
        <f>IF(G1639&gt;0,(G1639/1.18-I1639)/(G1639/1.18),"")</f>
        <v/>
      </c>
      <c r="T245">
        <f>IF(H1639&gt;0,(H1639/1.18-I1639)/(H1639/1.18),"")</f>
        <v/>
      </c>
      <c r="U245" t="inlineStr">
        <is>
          <t>NOOS</t>
        </is>
      </c>
      <c r="V245" t="n">
        <v>0</v>
      </c>
      <c r="W245" t="n">
        <v>0</v>
      </c>
    </row>
    <row r="246">
      <c r="A246" t="inlineStr">
        <is>
          <t>37227249</t>
        </is>
      </c>
      <c r="B246" t="inlineStr">
        <is>
          <t>PRODUCTO FD8318</t>
        </is>
      </c>
      <c r="C246" t="inlineStr">
        <is>
          <t>PIERRE CARDIN</t>
        </is>
      </c>
      <c r="D246" t="inlineStr">
        <is>
          <t>POLERONES</t>
        </is>
      </c>
      <c r="E246" t="inlineStr">
        <is>
          <t>MARCAS CASUAL NACIONAL HOMBRE</t>
        </is>
      </c>
      <c r="F246" t="n">
        <v>12</v>
      </c>
      <c r="G246" t="n">
        <v>295</v>
      </c>
      <c r="H246" t="n">
        <v>129</v>
      </c>
      <c r="I246" t="n">
        <v>162.5</v>
      </c>
      <c r="J246" t="inlineStr">
        <is>
          <t>OI</t>
        </is>
      </c>
      <c r="K246" t="inlineStr">
        <is>
          <t>RANGO 0_3</t>
        </is>
      </c>
      <c r="L246" t="n">
        <v>0</v>
      </c>
      <c r="M246" t="n">
        <v>7</v>
      </c>
      <c r="N246" t="n">
        <v>5</v>
      </c>
      <c r="O246" t="n">
        <v>10</v>
      </c>
      <c r="P246" t="n">
        <v>13</v>
      </c>
      <c r="R246">
        <f>IF(G1642&gt;0,1-H1642/G1642,"")</f>
        <v/>
      </c>
      <c r="S246">
        <f>IF(G1642&gt;0,(G1642/1.18-I1642)/(G1642/1.18),"")</f>
        <v/>
      </c>
      <c r="T246">
        <f>IF(H1642&gt;0,(H1642/1.18-I1642)/(H1642/1.18),"")</f>
        <v/>
      </c>
      <c r="U246" t="inlineStr">
        <is>
          <t>NOOS</t>
        </is>
      </c>
      <c r="V246" t="n">
        <v>4023.86</v>
      </c>
      <c r="W246" t="n">
        <v>1408.31</v>
      </c>
      <c r="X246" t="n">
        <v>0.35</v>
      </c>
    </row>
    <row r="247">
      <c r="A247" t="inlineStr">
        <is>
          <t>37230052</t>
        </is>
      </c>
      <c r="B247" t="inlineStr">
        <is>
          <t>PRODUCTO 5DCA40</t>
        </is>
      </c>
      <c r="C247" t="inlineStr">
        <is>
          <t>PIERRE CARDIN</t>
        </is>
      </c>
      <c r="D247" t="inlineStr">
        <is>
          <t>ACCESORIOS</t>
        </is>
      </c>
      <c r="E247" t="inlineStr">
        <is>
          <t>MARCAS CASUAL NACIONAL HOMBRE</t>
        </is>
      </c>
      <c r="F247" t="n">
        <v>19</v>
      </c>
      <c r="G247" t="n">
        <v>19.9</v>
      </c>
      <c r="H247" t="n">
        <v>15.92</v>
      </c>
      <c r="I247" t="n">
        <v>10.96</v>
      </c>
      <c r="J247" t="inlineStr">
        <is>
          <t>OI</t>
        </is>
      </c>
      <c r="K247" t="inlineStr">
        <is>
          <t>RANGO 3_6</t>
        </is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R247">
        <f>IF(G1649&gt;0,1-H1649/G1649,"")</f>
        <v/>
      </c>
      <c r="S247">
        <f>IF(G1649&gt;0,(G1649/1.18-I1649)/(G1649/1.18),"")</f>
        <v/>
      </c>
      <c r="T247">
        <f>IF(H1649&gt;0,(H1649/1.18-I1649)/(H1649/1.18),"")</f>
        <v/>
      </c>
      <c r="U247" t="inlineStr">
        <is>
          <t>NOOS</t>
        </is>
      </c>
      <c r="V247" t="n">
        <v>11.81</v>
      </c>
      <c r="W247" t="n">
        <v>4.14</v>
      </c>
      <c r="X247" t="n">
        <v>0.3506</v>
      </c>
    </row>
    <row r="248">
      <c r="A248" t="inlineStr">
        <is>
          <t>37261659</t>
        </is>
      </c>
      <c r="B248" t="inlineStr">
        <is>
          <t>PRODUCTO 0DD0C3</t>
        </is>
      </c>
      <c r="C248" t="inlineStr">
        <is>
          <t>PIERRE CARDIN</t>
        </is>
      </c>
      <c r="D248" t="inlineStr">
        <is>
          <t>CAMISAS M/L</t>
        </is>
      </c>
      <c r="E248" t="inlineStr">
        <is>
          <t>MARCAS CASUAL NACIONAL HOMBRE</t>
        </is>
      </c>
      <c r="F248" t="n">
        <v>4</v>
      </c>
      <c r="G248" t="n">
        <v>249</v>
      </c>
      <c r="H248" t="n">
        <v>99</v>
      </c>
      <c r="I248" t="n">
        <v>137.16</v>
      </c>
      <c r="J248" t="inlineStr">
        <is>
          <t>OI</t>
        </is>
      </c>
      <c r="K248" t="inlineStr">
        <is>
          <t>RANGO 0_3</t>
        </is>
      </c>
      <c r="L248" t="n">
        <v>0</v>
      </c>
      <c r="M248" t="n">
        <v>5</v>
      </c>
      <c r="N248" t="n">
        <v>1</v>
      </c>
      <c r="O248" t="n">
        <v>2</v>
      </c>
      <c r="P248" t="n">
        <v>3</v>
      </c>
      <c r="R248">
        <f>IF(G1664&gt;0,1-H1664/G1664,"")</f>
        <v/>
      </c>
      <c r="S248">
        <f>IF(G1664&gt;0,(G1664/1.18-I1664)/(G1664/1.18),"")</f>
        <v/>
      </c>
      <c r="T248">
        <f>IF(H1664&gt;0,(H1664/1.18-I1664)/(H1664/1.18),"")</f>
        <v/>
      </c>
      <c r="U248" t="inlineStr">
        <is>
          <t>NOOS</t>
        </is>
      </c>
      <c r="V248" t="n">
        <v>992.5599999999999</v>
      </c>
      <c r="W248" t="n">
        <v>347.43</v>
      </c>
      <c r="X248" t="n">
        <v>0.35</v>
      </c>
    </row>
    <row r="249">
      <c r="A249" t="inlineStr">
        <is>
          <t>37261672</t>
        </is>
      </c>
      <c r="B249" t="inlineStr">
        <is>
          <t>PRODUCTO E461F7</t>
        </is>
      </c>
      <c r="C249" t="inlineStr">
        <is>
          <t>PIERRE CARDIN</t>
        </is>
      </c>
      <c r="D249" t="inlineStr">
        <is>
          <t>CAMISAS M/L</t>
        </is>
      </c>
      <c r="E249" t="inlineStr">
        <is>
          <t>MARCAS CASUAL NACIONAL HOMBRE</t>
        </is>
      </c>
      <c r="F249" t="n">
        <v>5</v>
      </c>
      <c r="G249" t="n">
        <v>249</v>
      </c>
      <c r="H249" t="n">
        <v>99</v>
      </c>
      <c r="I249" t="n">
        <v>137.16</v>
      </c>
      <c r="J249" t="inlineStr">
        <is>
          <t>OI</t>
        </is>
      </c>
      <c r="K249" t="inlineStr">
        <is>
          <t>RANGO 0_3</t>
        </is>
      </c>
      <c r="L249" t="n">
        <v>0</v>
      </c>
      <c r="M249" t="n">
        <v>3</v>
      </c>
      <c r="N249" t="n">
        <v>0</v>
      </c>
      <c r="O249" t="n">
        <v>1</v>
      </c>
      <c r="P249" t="n">
        <v>0</v>
      </c>
      <c r="R249">
        <f>IF(G1665&gt;0,1-H1665/G1665,"")</f>
        <v/>
      </c>
      <c r="S249">
        <f>IF(G1665&gt;0,(G1665/1.18-I1665)/(G1665/1.18),"")</f>
        <v/>
      </c>
      <c r="T249">
        <f>IF(H1665&gt;0,(H1665/1.18-I1665)/(H1665/1.18),"")</f>
        <v/>
      </c>
      <c r="U249" t="inlineStr">
        <is>
          <t>NOOS</t>
        </is>
      </c>
      <c r="V249" t="n">
        <v>357.21</v>
      </c>
      <c r="W249" t="n">
        <v>125.04</v>
      </c>
      <c r="X249" t="n">
        <v>0.35</v>
      </c>
    </row>
    <row r="250">
      <c r="A250" t="inlineStr">
        <is>
          <t>37291958</t>
        </is>
      </c>
      <c r="B250" t="inlineStr">
        <is>
          <t>PRODUCTO 6533AC</t>
        </is>
      </c>
      <c r="C250" t="inlineStr">
        <is>
          <t>PIERRE CARDIN</t>
        </is>
      </c>
      <c r="D250" t="inlineStr">
        <is>
          <t>CAMISAS M/L</t>
        </is>
      </c>
      <c r="E250" t="inlineStr">
        <is>
          <t>MARCAS CASUAL NACIONAL HOMBRE</t>
        </is>
      </c>
      <c r="F250" t="n">
        <v>13</v>
      </c>
      <c r="G250" t="n">
        <v>249</v>
      </c>
      <c r="H250" t="n">
        <v>99</v>
      </c>
      <c r="I250" t="n">
        <v>137.16</v>
      </c>
      <c r="J250" t="inlineStr">
        <is>
          <t>PV</t>
        </is>
      </c>
      <c r="K250" t="inlineStr">
        <is>
          <t>RANGO 0_3</t>
        </is>
      </c>
      <c r="L250" t="n">
        <v>0</v>
      </c>
      <c r="M250" t="n">
        <v>2</v>
      </c>
      <c r="N250" t="n">
        <v>0</v>
      </c>
      <c r="O250" t="n">
        <v>1</v>
      </c>
      <c r="P250" t="n">
        <v>1</v>
      </c>
      <c r="R250">
        <f>IF(G1676&gt;0,1-H1676/G1676,"")</f>
        <v/>
      </c>
      <c r="S250">
        <f>IF(G1676&gt;0,(G1676/1.18-I1676)/(G1676/1.18),"")</f>
        <v/>
      </c>
      <c r="T250">
        <f>IF(H1676&gt;0,(H1676/1.18-I1676)/(H1676/1.18),"")</f>
        <v/>
      </c>
      <c r="U250" t="inlineStr">
        <is>
          <t>NOOS</t>
        </is>
      </c>
      <c r="V250" t="n">
        <v>335.6</v>
      </c>
      <c r="W250" t="n">
        <v>117.48</v>
      </c>
      <c r="X250" t="n">
        <v>0.3501</v>
      </c>
    </row>
    <row r="251">
      <c r="A251" t="inlineStr">
        <is>
          <t>37291984</t>
        </is>
      </c>
      <c r="B251" t="inlineStr">
        <is>
          <t>PRODUCTO 98AFAB</t>
        </is>
      </c>
      <c r="C251" t="inlineStr">
        <is>
          <t>PIERRE CARDIN</t>
        </is>
      </c>
      <c r="D251" t="inlineStr">
        <is>
          <t>CAMISAS M/L</t>
        </is>
      </c>
      <c r="E251" t="inlineStr">
        <is>
          <t>MARCAS CASUAL NACIONAL HOMBRE</t>
        </is>
      </c>
      <c r="F251" t="n">
        <v>15</v>
      </c>
      <c r="G251" t="n">
        <v>289</v>
      </c>
      <c r="H251" t="n">
        <v>99</v>
      </c>
      <c r="I251" t="n">
        <v>159.19</v>
      </c>
      <c r="J251" t="inlineStr">
        <is>
          <t>PV</t>
        </is>
      </c>
      <c r="K251" t="inlineStr">
        <is>
          <t>RANGO 3_6</t>
        </is>
      </c>
      <c r="L251" t="n">
        <v>0</v>
      </c>
      <c r="M251" t="n">
        <v>2</v>
      </c>
      <c r="N251" t="n">
        <v>2</v>
      </c>
      <c r="O251" t="n">
        <v>2</v>
      </c>
      <c r="P251" t="n">
        <v>2</v>
      </c>
      <c r="R251">
        <f>IF(G1678&gt;0,1-H1678/G1678,"")</f>
        <v/>
      </c>
      <c r="S251">
        <f>IF(G1678&gt;0,(G1678/1.18-I1678)/(G1678/1.18),"")</f>
        <v/>
      </c>
      <c r="T251">
        <f>IF(H1678&gt;0,(H1678/1.18-I1678)/(H1678/1.18),"")</f>
        <v/>
      </c>
      <c r="U251" t="inlineStr">
        <is>
          <t>NOOS</t>
        </is>
      </c>
      <c r="V251" t="n">
        <v>731.54</v>
      </c>
      <c r="W251" t="n">
        <v>256.06</v>
      </c>
      <c r="X251" t="n">
        <v>0.35</v>
      </c>
    </row>
    <row r="252">
      <c r="A252" t="inlineStr">
        <is>
          <t>37302813</t>
        </is>
      </c>
      <c r="B252" t="inlineStr">
        <is>
          <t>PRODUCTO 42E36A</t>
        </is>
      </c>
      <c r="C252" t="inlineStr">
        <is>
          <t>NORTON</t>
        </is>
      </c>
      <c r="D252" t="inlineStr">
        <is>
          <t>CASACAS</t>
        </is>
      </c>
      <c r="E252" t="inlineStr">
        <is>
          <t>MARCAS CASUAL NACIONAL HOMBRE</t>
        </is>
      </c>
      <c r="F252" t="n">
        <v>16</v>
      </c>
      <c r="G252" t="n">
        <v>319.99</v>
      </c>
      <c r="H252" t="n">
        <v>160</v>
      </c>
      <c r="I252" t="n">
        <v>176.09</v>
      </c>
      <c r="J252" t="inlineStr">
        <is>
          <t>PV</t>
        </is>
      </c>
      <c r="K252" t="inlineStr">
        <is>
          <t>RANGO 3_6</t>
        </is>
      </c>
      <c r="L252" t="n">
        <v>5</v>
      </c>
      <c r="M252" t="n">
        <v>2</v>
      </c>
      <c r="N252" t="n">
        <v>0</v>
      </c>
      <c r="O252" t="n">
        <v>0</v>
      </c>
      <c r="P252" t="n">
        <v>0</v>
      </c>
      <c r="R252">
        <f>IF(G1687&gt;0,1-H1687/G1687,"")</f>
        <v/>
      </c>
      <c r="S252">
        <f>IF(G1687&gt;0,(G1687/1.18-I1687)/(G1687/1.18),"")</f>
        <v/>
      </c>
      <c r="T252">
        <f>IF(H1687&gt;0,(H1687/1.18-I1687)/(H1687/1.18),"")</f>
        <v/>
      </c>
      <c r="U252" t="inlineStr">
        <is>
          <t>NOOS</t>
        </is>
      </c>
      <c r="V252" t="n">
        <v>271.18</v>
      </c>
      <c r="W252" t="n">
        <v>94.90000000000001</v>
      </c>
      <c r="X252" t="n">
        <v>0.35</v>
      </c>
    </row>
    <row r="253">
      <c r="A253" t="inlineStr">
        <is>
          <t>37303728</t>
        </is>
      </c>
      <c r="B253" t="inlineStr">
        <is>
          <t>PRODUCTO EADA1A</t>
        </is>
      </c>
      <c r="C253" t="inlineStr">
        <is>
          <t>JOHN HOLDEN</t>
        </is>
      </c>
      <c r="D253" t="inlineStr">
        <is>
          <t>CASACAS</t>
        </is>
      </c>
      <c r="E253" t="inlineStr">
        <is>
          <t>MARCAS CASUAL NACIONAL HOMBRE</t>
        </is>
      </c>
      <c r="F253" t="n">
        <v>6</v>
      </c>
      <c r="G253" t="n">
        <v>229.9</v>
      </c>
      <c r="H253" t="n">
        <v>129.9</v>
      </c>
      <c r="I253" t="n">
        <v>70.84999999999999</v>
      </c>
      <c r="J253" t="inlineStr">
        <is>
          <t>PV</t>
        </is>
      </c>
      <c r="K253" t="inlineStr">
        <is>
          <t>RANGO 0_3</t>
        </is>
      </c>
      <c r="L253" t="n">
        <v>6</v>
      </c>
      <c r="M253" t="n">
        <v>45</v>
      </c>
      <c r="N253" t="n">
        <v>57</v>
      </c>
      <c r="O253" t="n">
        <v>49</v>
      </c>
      <c r="P253" t="n">
        <v>53</v>
      </c>
      <c r="R253">
        <f>IF(G1697&gt;0,1-H1697/G1697,"")</f>
        <v/>
      </c>
      <c r="S253">
        <f>IF(G1697&gt;0,(G1697/1.18-I1697)/(G1697/1.18),"")</f>
        <v/>
      </c>
      <c r="T253">
        <f>IF(H1697&gt;0,(H1697/1.18-I1697)/(H1697/1.18),"")</f>
        <v/>
      </c>
      <c r="U253" t="inlineStr">
        <is>
          <t>NOOS</t>
        </is>
      </c>
      <c r="V253" t="n">
        <v>22432.29</v>
      </c>
      <c r="W253" t="n">
        <v>7978.89</v>
      </c>
      <c r="X253" t="n">
        <v>0.3557</v>
      </c>
    </row>
    <row r="254">
      <c r="A254" t="inlineStr">
        <is>
          <t>37303749</t>
        </is>
      </c>
      <c r="B254" t="inlineStr">
        <is>
          <t>PRODUCTO 4335BB</t>
        </is>
      </c>
      <c r="C254" t="inlineStr">
        <is>
          <t>JOHN HOLDEN</t>
        </is>
      </c>
      <c r="D254" t="inlineStr">
        <is>
          <t>CASACAS</t>
        </is>
      </c>
      <c r="E254" t="inlineStr">
        <is>
          <t>MARCAS CASUAL NACIONAL HOMBRE</t>
        </is>
      </c>
      <c r="F254" t="n">
        <v>6</v>
      </c>
      <c r="G254" t="n">
        <v>249.9</v>
      </c>
      <c r="H254" t="n">
        <v>179.9</v>
      </c>
      <c r="I254" t="n">
        <v>94.11</v>
      </c>
      <c r="J254" t="inlineStr">
        <is>
          <t>PV</t>
        </is>
      </c>
      <c r="K254" t="inlineStr">
        <is>
          <t>RANGO 0_3</t>
        </is>
      </c>
      <c r="L254" t="n">
        <v>7</v>
      </c>
      <c r="M254" t="n">
        <v>8</v>
      </c>
      <c r="N254" t="n">
        <v>4</v>
      </c>
      <c r="O254" t="n">
        <v>11</v>
      </c>
      <c r="P254" t="n">
        <v>11</v>
      </c>
      <c r="R254">
        <f>IF(G1698&gt;0,1-H1698/G1698,"")</f>
        <v/>
      </c>
      <c r="S254">
        <f>IF(G1698&gt;0,(G1698/1.18-I1698)/(G1698/1.18),"")</f>
        <v/>
      </c>
      <c r="T254">
        <f>IF(H1698&gt;0,(H1698/1.18-I1698)/(H1698/1.18),"")</f>
        <v/>
      </c>
      <c r="U254" t="inlineStr">
        <is>
          <t>NOOS</t>
        </is>
      </c>
      <c r="V254" t="n">
        <v>5246.25</v>
      </c>
      <c r="W254" t="n">
        <v>2054.16</v>
      </c>
      <c r="X254" t="n">
        <v>0.3915</v>
      </c>
    </row>
    <row r="255">
      <c r="A255" t="inlineStr">
        <is>
          <t>37306753</t>
        </is>
      </c>
      <c r="B255" t="inlineStr">
        <is>
          <t>PRODUCTO 13466C</t>
        </is>
      </c>
      <c r="C255" t="inlineStr">
        <is>
          <t>MARQUIS</t>
        </is>
      </c>
      <c r="D255" t="inlineStr">
        <is>
          <t>PANTALONES</t>
        </is>
      </c>
      <c r="E255" t="inlineStr">
        <is>
          <t>MARQUIS HOMBRE</t>
        </is>
      </c>
      <c r="F255" t="n">
        <v>13</v>
      </c>
      <c r="G255" t="n">
        <v>149.99</v>
      </c>
      <c r="H255" t="n">
        <v>149.99</v>
      </c>
      <c r="I255" t="n">
        <v>47</v>
      </c>
      <c r="J255" t="inlineStr">
        <is>
          <t>PV</t>
        </is>
      </c>
      <c r="K255" t="inlineStr">
        <is>
          <t>RANGO 3_6</t>
        </is>
      </c>
      <c r="L255" t="n">
        <v>1</v>
      </c>
      <c r="M255" t="n">
        <v>21</v>
      </c>
      <c r="N255" t="n">
        <v>8</v>
      </c>
      <c r="O255" t="n">
        <v>6</v>
      </c>
      <c r="P255" t="n">
        <v>7</v>
      </c>
      <c r="R255">
        <f>IF(G1720&gt;0,1-H1720/G1720,"")</f>
        <v/>
      </c>
      <c r="S255">
        <f>IF(G1720&gt;0,(G1720/1.18-I1720)/(G1720/1.18),"")</f>
        <v/>
      </c>
      <c r="T255">
        <f>IF(H1720&gt;0,(H1720/1.18-I1720)/(H1720/1.18),"")</f>
        <v/>
      </c>
      <c r="U255" t="inlineStr">
        <is>
          <t>NOOS</t>
        </is>
      </c>
      <c r="V255" t="n">
        <v>4250.74</v>
      </c>
      <c r="W255" t="n">
        <v>2276.74</v>
      </c>
      <c r="X255" t="n">
        <v>0.5356</v>
      </c>
    </row>
    <row r="256">
      <c r="A256" t="inlineStr">
        <is>
          <t>37307097</t>
        </is>
      </c>
      <c r="B256" t="inlineStr">
        <is>
          <t>PRODUCTO 740E53</t>
        </is>
      </c>
      <c r="C256" t="inlineStr">
        <is>
          <t>MARQUIS</t>
        </is>
      </c>
      <c r="D256" t="inlineStr">
        <is>
          <t>CASACAS</t>
        </is>
      </c>
      <c r="E256" t="inlineStr">
        <is>
          <t>MARQUIS HOMBRE</t>
        </is>
      </c>
      <c r="F256" t="n">
        <v>11</v>
      </c>
      <c r="G256" t="n">
        <v>249.99</v>
      </c>
      <c r="H256" t="n">
        <v>199.99</v>
      </c>
      <c r="I256" t="n">
        <v>117</v>
      </c>
      <c r="J256" t="inlineStr">
        <is>
          <t>PV</t>
        </is>
      </c>
      <c r="K256" t="inlineStr">
        <is>
          <t>RANGO 0_3</t>
        </is>
      </c>
      <c r="L256" t="n">
        <v>5</v>
      </c>
      <c r="M256" t="n">
        <v>34</v>
      </c>
      <c r="N256" t="n">
        <v>7</v>
      </c>
      <c r="O256" t="n">
        <v>5</v>
      </c>
      <c r="P256" t="n">
        <v>10</v>
      </c>
      <c r="R256">
        <f>IF(G1723&gt;0,1-H1723/G1723,"")</f>
        <v/>
      </c>
      <c r="S256">
        <f>IF(G1723&gt;0,(G1723/1.18-I1723)/(G1723/1.18),"")</f>
        <v/>
      </c>
      <c r="T256">
        <f>IF(H1723&gt;0,(H1723/1.18-I1723)/(H1723/1.18),"")</f>
        <v/>
      </c>
      <c r="U256" t="inlineStr">
        <is>
          <t>NOOS</t>
        </is>
      </c>
      <c r="V256" t="n">
        <v>7424.79</v>
      </c>
      <c r="W256" t="n">
        <v>872.79</v>
      </c>
      <c r="X256" t="n">
        <v>0.1176</v>
      </c>
    </row>
    <row r="257">
      <c r="A257" t="inlineStr">
        <is>
          <t>37313683</t>
        </is>
      </c>
      <c r="B257" t="inlineStr">
        <is>
          <t>PRODUCTO D53ED5</t>
        </is>
      </c>
      <c r="C257" t="inlineStr">
        <is>
          <t>PIERRE CARDIN</t>
        </is>
      </c>
      <c r="D257" t="inlineStr">
        <is>
          <t>CAMISAS M/C</t>
        </is>
      </c>
      <c r="E257" t="inlineStr">
        <is>
          <t>MARCAS CASUAL NACIONAL HOMBRE</t>
        </is>
      </c>
      <c r="F257" t="n">
        <v>15</v>
      </c>
      <c r="G257" t="n">
        <v>229</v>
      </c>
      <c r="H257" t="n">
        <v>99</v>
      </c>
      <c r="I257" t="n">
        <v>126.14</v>
      </c>
      <c r="J257" t="inlineStr">
        <is>
          <t>PV</t>
        </is>
      </c>
      <c r="K257" t="inlineStr">
        <is>
          <t>RANGO 3_6</t>
        </is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R257">
        <f>IF(G1729&gt;0,1-H1729/G1729,"")</f>
        <v/>
      </c>
      <c r="S257">
        <f>IF(G1729&gt;0,(G1729/1.18-I1729)/(G1729/1.18),"")</f>
        <v/>
      </c>
      <c r="T257">
        <f>IF(H1729&gt;0,(H1729/1.18-I1729)/(H1729/1.18),"")</f>
        <v/>
      </c>
      <c r="U257" t="inlineStr">
        <is>
          <t>NOOS</t>
        </is>
      </c>
      <c r="V257" t="n">
        <v>83.90000000000001</v>
      </c>
      <c r="W257" t="n">
        <v>29.37</v>
      </c>
      <c r="X257" t="n">
        <v>0.3501</v>
      </c>
    </row>
    <row r="258">
      <c r="A258" t="inlineStr">
        <is>
          <t>37313696</t>
        </is>
      </c>
      <c r="B258" t="inlineStr">
        <is>
          <t>PRODUCTO 8B71C7</t>
        </is>
      </c>
      <c r="C258" t="inlineStr">
        <is>
          <t>PIERRE CARDIN</t>
        </is>
      </c>
      <c r="D258" t="inlineStr">
        <is>
          <t>CAMISAS M/C</t>
        </is>
      </c>
      <c r="E258" t="inlineStr">
        <is>
          <t>MARCAS CASUAL NACIONAL HOMBRE</t>
        </is>
      </c>
      <c r="F258" t="n">
        <v>15</v>
      </c>
      <c r="G258" t="n">
        <v>229</v>
      </c>
      <c r="H258" t="n">
        <v>99</v>
      </c>
      <c r="I258" t="n">
        <v>126.14</v>
      </c>
      <c r="J258" t="inlineStr">
        <is>
          <t>PV</t>
        </is>
      </c>
      <c r="K258" t="inlineStr">
        <is>
          <t>RANGO 3_6</t>
        </is>
      </c>
      <c r="L258" t="n">
        <v>0</v>
      </c>
      <c r="M258" t="n">
        <v>1</v>
      </c>
      <c r="N258" t="n">
        <v>2</v>
      </c>
      <c r="O258" t="n">
        <v>0</v>
      </c>
      <c r="P258" t="n">
        <v>0</v>
      </c>
      <c r="R258">
        <f>IF(G1730&gt;0,1-H1730/G1730,"")</f>
        <v/>
      </c>
      <c r="S258">
        <f>IF(G1730&gt;0,(G1730/1.18-I1730)/(G1730/1.18),"")</f>
        <v/>
      </c>
      <c r="T258">
        <f>IF(H1730&gt;0,(H1730/1.18-I1730)/(H1730/1.18),"")</f>
        <v/>
      </c>
      <c r="U258" t="inlineStr">
        <is>
          <t>NOOS</t>
        </is>
      </c>
      <c r="V258" t="n">
        <v>251.7</v>
      </c>
      <c r="W258" t="n">
        <v>88.11</v>
      </c>
      <c r="X258" t="n">
        <v>0.3501</v>
      </c>
    </row>
    <row r="259">
      <c r="A259" t="inlineStr">
        <is>
          <t>37315512</t>
        </is>
      </c>
      <c r="B259" t="inlineStr">
        <is>
          <t>PRODUCTO 030F69</t>
        </is>
      </c>
      <c r="C259" t="inlineStr">
        <is>
          <t>NAVIGATA</t>
        </is>
      </c>
      <c r="D259" t="inlineStr">
        <is>
          <t>PANTALONES</t>
        </is>
      </c>
      <c r="E259" t="inlineStr">
        <is>
          <t>NAVIGATA HOMBRE</t>
        </is>
      </c>
      <c r="F259" t="n">
        <v>9</v>
      </c>
      <c r="G259" t="n">
        <v>149.99</v>
      </c>
      <c r="H259" t="n">
        <v>149.99</v>
      </c>
      <c r="I259" t="n">
        <v>50</v>
      </c>
      <c r="J259" t="inlineStr">
        <is>
          <t>PV</t>
        </is>
      </c>
      <c r="K259" t="inlineStr">
        <is>
          <t>RANGO 0_3</t>
        </is>
      </c>
      <c r="L259" t="n">
        <v>4</v>
      </c>
      <c r="M259" t="n">
        <v>16</v>
      </c>
      <c r="N259" t="n">
        <v>3</v>
      </c>
      <c r="O259" t="n">
        <v>10</v>
      </c>
      <c r="P259" t="n">
        <v>4</v>
      </c>
      <c r="R259">
        <f>IF(G1737&gt;0,1-H1737/G1737,"")</f>
        <v/>
      </c>
      <c r="S259">
        <f>IF(G1737&gt;0,(G1737/1.18-I1737)/(G1737/1.18),"")</f>
        <v/>
      </c>
      <c r="T259">
        <f>IF(H1737&gt;0,(H1737/1.18-I1737)/(H1737/1.18),"")</f>
        <v/>
      </c>
      <c r="U259" t="inlineStr">
        <is>
          <t>NOOS</t>
        </is>
      </c>
      <c r="V259" t="n">
        <v>3011.82</v>
      </c>
      <c r="W259" t="n">
        <v>1361.82</v>
      </c>
      <c r="X259" t="n">
        <v>0.4522</v>
      </c>
    </row>
    <row r="260">
      <c r="A260" t="inlineStr">
        <is>
          <t>37341237</t>
        </is>
      </c>
      <c r="B260" t="inlineStr">
        <is>
          <t>PRODUCTO 12D54E</t>
        </is>
      </c>
      <c r="C260" t="inlineStr">
        <is>
          <t>JOHN HOLDEN</t>
        </is>
      </c>
      <c r="D260" t="inlineStr">
        <is>
          <t>ACCESORIOS</t>
        </is>
      </c>
      <c r="E260" t="inlineStr">
        <is>
          <t>MARCAS CASUAL NACIONAL HOMBRE</t>
        </is>
      </c>
      <c r="F260" t="n">
        <v>12</v>
      </c>
      <c r="G260" t="n">
        <v>59.9</v>
      </c>
      <c r="H260" t="n">
        <v>29.9</v>
      </c>
      <c r="I260" t="n">
        <v>21.15</v>
      </c>
      <c r="J260" t="inlineStr">
        <is>
          <t>PV</t>
        </is>
      </c>
      <c r="K260" t="inlineStr">
        <is>
          <t>RANGO 0_3</t>
        </is>
      </c>
      <c r="L260" t="n">
        <v>2</v>
      </c>
      <c r="M260" t="n">
        <v>4</v>
      </c>
      <c r="N260" t="n">
        <v>0</v>
      </c>
      <c r="O260" t="n">
        <v>4</v>
      </c>
      <c r="P260" t="n">
        <v>4</v>
      </c>
      <c r="R260">
        <f>IF(G1750&gt;0,1-H1750/G1750,"")</f>
        <v/>
      </c>
      <c r="S260">
        <f>IF(G1750&gt;0,(G1750/1.18-I1750)/(G1750/1.18),"")</f>
        <v/>
      </c>
      <c r="T260">
        <f>IF(H1750&gt;0,(H1750/1.18-I1750)/(H1750/1.18),"")</f>
        <v/>
      </c>
      <c r="U260" t="inlineStr">
        <is>
          <t>NOOS</t>
        </is>
      </c>
      <c r="V260" t="n">
        <v>301.55</v>
      </c>
      <c r="W260" t="n">
        <v>47.75</v>
      </c>
      <c r="X260" t="n">
        <v>0.1583</v>
      </c>
    </row>
    <row r="261">
      <c r="A261" t="inlineStr">
        <is>
          <t>37345867</t>
        </is>
      </c>
      <c r="B261" t="inlineStr">
        <is>
          <t>PRODUCTO D7B48F</t>
        </is>
      </c>
      <c r="C261" t="inlineStr">
        <is>
          <t>SELECTED</t>
        </is>
      </c>
      <c r="D261" t="inlineStr">
        <is>
          <t>POLOS M/C</t>
        </is>
      </c>
      <c r="E261" t="inlineStr">
        <is>
          <t>MARCAS CASUAL INTERNACIONAL HOMBRE</t>
        </is>
      </c>
      <c r="F261" t="n">
        <v>7</v>
      </c>
      <c r="G261" t="n">
        <v>199.9</v>
      </c>
      <c r="H261" t="n">
        <v>159.99</v>
      </c>
      <c r="I261" t="n">
        <v>73.53</v>
      </c>
      <c r="J261" t="inlineStr">
        <is>
          <t>PV</t>
        </is>
      </c>
      <c r="K261" t="inlineStr">
        <is>
          <t>RANGO 0_3</t>
        </is>
      </c>
      <c r="L261" t="n">
        <v>24</v>
      </c>
      <c r="M261" t="n">
        <v>10</v>
      </c>
      <c r="N261" t="n">
        <v>2</v>
      </c>
      <c r="O261" t="n">
        <v>15</v>
      </c>
      <c r="P261" t="n">
        <v>9</v>
      </c>
      <c r="R261">
        <f>IF(G1771&gt;0,1-H1771/G1771,"")</f>
        <v/>
      </c>
      <c r="S261">
        <f>IF(G1771&gt;0,(G1771/1.18-I1771)/(G1771/1.18),"")</f>
        <v/>
      </c>
      <c r="T261">
        <f>IF(H1771&gt;0,(H1771/1.18-I1771)/(H1771/1.18),"")</f>
        <v/>
      </c>
      <c r="U261" t="inlineStr">
        <is>
          <t>NOOS</t>
        </is>
      </c>
      <c r="V261" t="n">
        <v>4568.36</v>
      </c>
      <c r="W261" t="n">
        <v>1922.54</v>
      </c>
      <c r="X261" t="n">
        <v>0.4208</v>
      </c>
    </row>
    <row r="262">
      <c r="A262" t="inlineStr">
        <is>
          <t>37345878</t>
        </is>
      </c>
      <c r="B262" t="inlineStr">
        <is>
          <t>PRODUCTO A380E2</t>
        </is>
      </c>
      <c r="C262" t="inlineStr">
        <is>
          <t>SELECTED</t>
        </is>
      </c>
      <c r="D262" t="inlineStr">
        <is>
          <t>POLOS M/C</t>
        </is>
      </c>
      <c r="E262" t="inlineStr">
        <is>
          <t>MARCAS CASUAL INTERNACIONAL HOMBRE</t>
        </is>
      </c>
      <c r="F262" t="n">
        <v>7</v>
      </c>
      <c r="G262" t="n">
        <v>199.9</v>
      </c>
      <c r="H262" t="n">
        <v>159.99</v>
      </c>
      <c r="I262" t="n">
        <v>57.01</v>
      </c>
      <c r="J262" t="inlineStr">
        <is>
          <t>PV</t>
        </is>
      </c>
      <c r="K262" t="inlineStr">
        <is>
          <t>RANGO 0_3</t>
        </is>
      </c>
      <c r="L262" t="n">
        <v>25</v>
      </c>
      <c r="M262" t="n">
        <v>6</v>
      </c>
      <c r="N262" t="n">
        <v>6</v>
      </c>
      <c r="O262" t="n">
        <v>8</v>
      </c>
      <c r="P262" t="n">
        <v>6</v>
      </c>
      <c r="R262">
        <f>IF(G1772&gt;0,1-H1772/G1772,"")</f>
        <v/>
      </c>
      <c r="S262">
        <f>IF(G1772&gt;0,(G1772/1.18-I1772)/(G1772/1.18),"")</f>
        <v/>
      </c>
      <c r="T262">
        <f>IF(H1772&gt;0,(H1772/1.18-I1772)/(H1772/1.18),"")</f>
        <v/>
      </c>
      <c r="U262" t="inlineStr">
        <is>
          <t>NOOS</t>
        </is>
      </c>
      <c r="V262" t="n">
        <v>3318.05</v>
      </c>
      <c r="W262" t="n">
        <v>1835.79</v>
      </c>
      <c r="X262" t="n">
        <v>0.5533</v>
      </c>
    </row>
    <row r="263">
      <c r="A263" t="inlineStr">
        <is>
          <t>37351821</t>
        </is>
      </c>
      <c r="B263" t="inlineStr">
        <is>
          <t>PRODUCTO A1DEDF</t>
        </is>
      </c>
      <c r="C263" t="inlineStr">
        <is>
          <t>SILBON</t>
        </is>
      </c>
      <c r="D263" t="inlineStr">
        <is>
          <t>POLERONES</t>
        </is>
      </c>
      <c r="E263" t="inlineStr">
        <is>
          <t>MARCAS CASUAL NACIONAL HOMBRE</t>
        </is>
      </c>
      <c r="F263" t="n">
        <v>13</v>
      </c>
      <c r="G263" t="n">
        <v>359.99</v>
      </c>
      <c r="H263" t="n">
        <v>319.99</v>
      </c>
      <c r="I263" t="n">
        <v>176.94</v>
      </c>
      <c r="J263" t="inlineStr">
        <is>
          <t>PV</t>
        </is>
      </c>
      <c r="K263" t="inlineStr">
        <is>
          <t>RANGO 3_6</t>
        </is>
      </c>
      <c r="L263" t="n">
        <v>20</v>
      </c>
      <c r="M263" t="n">
        <v>0</v>
      </c>
      <c r="N263" t="n">
        <v>1</v>
      </c>
      <c r="O263" t="n">
        <v>0</v>
      </c>
      <c r="P263" t="n">
        <v>1</v>
      </c>
      <c r="R263">
        <f>IF(G1791&gt;0,1-H1791/G1791,"")</f>
        <v/>
      </c>
      <c r="S263">
        <f>IF(G1791&gt;0,(G1791/1.18-I1791)/(G1791/1.18),"")</f>
        <v/>
      </c>
      <c r="T263">
        <f>IF(H1791&gt;0,(H1791/1.18-I1791)/(H1791/1.18),"")</f>
        <v/>
      </c>
      <c r="U263" t="inlineStr">
        <is>
          <t>NOOS</t>
        </is>
      </c>
      <c r="V263" t="n">
        <v>542.36</v>
      </c>
      <c r="W263" t="n">
        <v>188.48</v>
      </c>
      <c r="X263" t="n">
        <v>0.3475</v>
      </c>
    </row>
    <row r="264">
      <c r="A264" t="inlineStr">
        <is>
          <t>37351917</t>
        </is>
      </c>
      <c r="B264" t="inlineStr">
        <is>
          <t>PRODUCTO 33A73F</t>
        </is>
      </c>
      <c r="C264" t="inlineStr">
        <is>
          <t>SILBON</t>
        </is>
      </c>
      <c r="D264" t="inlineStr">
        <is>
          <t>POLERONES</t>
        </is>
      </c>
      <c r="E264" t="inlineStr">
        <is>
          <t>MARCAS CASUAL NACIONAL HOMBRE</t>
        </is>
      </c>
      <c r="F264" t="n">
        <v>13</v>
      </c>
      <c r="G264" t="n">
        <v>339.99</v>
      </c>
      <c r="H264" t="n">
        <v>299.99</v>
      </c>
      <c r="I264" t="n">
        <v>167.07</v>
      </c>
      <c r="J264" t="inlineStr">
        <is>
          <t>PV</t>
        </is>
      </c>
      <c r="K264" t="inlineStr">
        <is>
          <t>RANGO 3_6</t>
        </is>
      </c>
      <c r="L264" t="n">
        <v>12</v>
      </c>
      <c r="M264" t="n">
        <v>1</v>
      </c>
      <c r="N264" t="n">
        <v>0</v>
      </c>
      <c r="O264" t="n">
        <v>1</v>
      </c>
      <c r="P264" t="n">
        <v>0</v>
      </c>
      <c r="R264">
        <f>IF(G1802&gt;0,1-H1802/G1802,"")</f>
        <v/>
      </c>
      <c r="S264">
        <f>IF(G1802&gt;0,(G1802/1.18-I1802)/(G1802/1.18),"")</f>
        <v/>
      </c>
      <c r="T264">
        <f>IF(H1802&gt;0,(H1802/1.18-I1802)/(H1802/1.18),"")</f>
        <v/>
      </c>
      <c r="U264" t="inlineStr">
        <is>
          <t>NOOS</t>
        </is>
      </c>
      <c r="V264" t="n">
        <v>457.61</v>
      </c>
      <c r="W264" t="n">
        <v>123.47</v>
      </c>
      <c r="X264" t="n">
        <v>0.2698</v>
      </c>
    </row>
    <row r="265">
      <c r="A265" t="inlineStr">
        <is>
          <t>37374984</t>
        </is>
      </c>
      <c r="B265" t="inlineStr">
        <is>
          <t>PRODUCTO 3E21AC</t>
        </is>
      </c>
      <c r="C265" t="inlineStr">
        <is>
          <t>LACOSTE</t>
        </is>
      </c>
      <c r="D265" t="inlineStr">
        <is>
          <t>POLOS M/C</t>
        </is>
      </c>
      <c r="E265" t="inlineStr">
        <is>
          <t>MARCAS CASUAL NACIONAL HOMBRE</t>
        </is>
      </c>
      <c r="F265" t="n">
        <v>12</v>
      </c>
      <c r="G265" t="n">
        <v>249.99</v>
      </c>
      <c r="H265" t="n">
        <v>199.99</v>
      </c>
      <c r="I265" t="n">
        <v>95</v>
      </c>
      <c r="J265" t="inlineStr">
        <is>
          <t>PV</t>
        </is>
      </c>
      <c r="K265" t="inlineStr">
        <is>
          <t>RANGO 0_3</t>
        </is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R265">
        <f>IF(G1829&gt;0,1-H1829/G1829,"")</f>
        <v/>
      </c>
      <c r="S265">
        <f>IF(G1829&gt;0,(G1829/1.18-I1829)/(G1829/1.18),"")</f>
        <v/>
      </c>
      <c r="T265">
        <f>IF(H1829&gt;0,(H1829/1.18-I1829)/(H1829/1.18),"")</f>
        <v/>
      </c>
      <c r="U265" t="inlineStr">
        <is>
          <t>NOOS</t>
        </is>
      </c>
      <c r="V265" t="n">
        <v>0</v>
      </c>
      <c r="W265" t="n">
        <v>0</v>
      </c>
    </row>
    <row r="266">
      <c r="A266" t="inlineStr">
        <is>
          <t>37375056</t>
        </is>
      </c>
      <c r="B266" t="inlineStr">
        <is>
          <t>PRODUCTO BA9075</t>
        </is>
      </c>
      <c r="C266" t="inlineStr">
        <is>
          <t>LACOSTE</t>
        </is>
      </c>
      <c r="D266" t="inlineStr">
        <is>
          <t>POLOS M/C</t>
        </is>
      </c>
      <c r="E266" t="inlineStr">
        <is>
          <t>MARCAS CASUAL NACIONAL HOMBRE</t>
        </is>
      </c>
      <c r="F266" t="n">
        <v>12</v>
      </c>
      <c r="G266" t="n">
        <v>259.99</v>
      </c>
      <c r="H266" t="n">
        <v>207.99</v>
      </c>
      <c r="I266" t="n">
        <v>99</v>
      </c>
      <c r="J266" t="inlineStr">
        <is>
          <t>PV</t>
        </is>
      </c>
      <c r="K266" t="inlineStr">
        <is>
          <t>RANGO 0_3</t>
        </is>
      </c>
      <c r="L266" t="n">
        <v>0</v>
      </c>
      <c r="M266" t="n">
        <v>0</v>
      </c>
      <c r="N266" t="n">
        <v>0</v>
      </c>
      <c r="O266" t="n">
        <v>0</v>
      </c>
      <c r="P266" t="n">
        <v>-1</v>
      </c>
      <c r="R266">
        <f>IF(G1840&gt;0,1-H1840/G1840,"")</f>
        <v/>
      </c>
      <c r="S266">
        <f>IF(G1840&gt;0,(G1840/1.18-I1840)/(G1840/1.18),"")</f>
        <v/>
      </c>
      <c r="T266">
        <f>IF(H1840&gt;0,(H1840/1.18-I1840)/(H1840/1.18),"")</f>
        <v/>
      </c>
      <c r="U266" t="inlineStr">
        <is>
          <t>NOOS</t>
        </is>
      </c>
      <c r="V266" t="n">
        <v>0</v>
      </c>
      <c r="W266" t="n">
        <v>-56.08</v>
      </c>
    </row>
    <row r="267">
      <c r="A267" t="inlineStr">
        <is>
          <t>37375061</t>
        </is>
      </c>
      <c r="B267" t="inlineStr">
        <is>
          <t>PRODUCTO 8DFA25</t>
        </is>
      </c>
      <c r="C267" t="inlineStr">
        <is>
          <t>LACOSTE</t>
        </is>
      </c>
      <c r="D267" t="inlineStr">
        <is>
          <t>POLOS M/C</t>
        </is>
      </c>
      <c r="E267" t="inlineStr">
        <is>
          <t>MARCAS CASUAL NACIONAL HOMBRE</t>
        </is>
      </c>
      <c r="F267" t="n">
        <v>12</v>
      </c>
      <c r="G267" t="n">
        <v>259.99</v>
      </c>
      <c r="H267" t="n">
        <v>207.99</v>
      </c>
      <c r="I267" t="n">
        <v>99</v>
      </c>
      <c r="J267" t="inlineStr">
        <is>
          <t>PV</t>
        </is>
      </c>
      <c r="K267" t="inlineStr">
        <is>
          <t>RANGO 0_3</t>
        </is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R267">
        <f>IF(G1841&gt;0,1-H1841/G1841,"")</f>
        <v/>
      </c>
      <c r="S267">
        <f>IF(G1841&gt;0,(G1841/1.18-I1841)/(G1841/1.18),"")</f>
        <v/>
      </c>
      <c r="T267">
        <f>IF(H1841&gt;0,(H1841/1.18-I1841)/(H1841/1.18),"")</f>
        <v/>
      </c>
      <c r="U267" t="inlineStr">
        <is>
          <t>NOOS</t>
        </is>
      </c>
      <c r="V267" t="n">
        <v>0</v>
      </c>
      <c r="W267" t="n">
        <v>0</v>
      </c>
    </row>
    <row r="268">
      <c r="A268" t="inlineStr">
        <is>
          <t>37375070</t>
        </is>
      </c>
      <c r="B268" t="inlineStr">
        <is>
          <t>PRODUCTO 94AA8D</t>
        </is>
      </c>
      <c r="C268" t="inlineStr">
        <is>
          <t>LACOSTE</t>
        </is>
      </c>
      <c r="D268" t="inlineStr">
        <is>
          <t>POLOS M/C</t>
        </is>
      </c>
      <c r="E268" t="inlineStr">
        <is>
          <t>MARCAS CASUAL NACIONAL HOMBRE</t>
        </is>
      </c>
      <c r="F268" t="n">
        <v>10</v>
      </c>
      <c r="G268" t="n">
        <v>239.99</v>
      </c>
      <c r="H268" t="n">
        <v>191.99</v>
      </c>
      <c r="I268" t="n">
        <v>92</v>
      </c>
      <c r="J268" t="inlineStr">
        <is>
          <t>PV</t>
        </is>
      </c>
      <c r="K268" t="inlineStr">
        <is>
          <t>RANGO 0_3</t>
        </is>
      </c>
      <c r="L268" t="n">
        <v>46</v>
      </c>
      <c r="M268" t="n">
        <v>1</v>
      </c>
      <c r="N268" t="n">
        <v>3</v>
      </c>
      <c r="O268" t="n">
        <v>4</v>
      </c>
      <c r="P268" t="n">
        <v>4</v>
      </c>
      <c r="R268">
        <f>IF(G1842&gt;0,1-H1842/G1842,"")</f>
        <v/>
      </c>
      <c r="S268">
        <f>IF(G1842&gt;0,(G1842/1.18-I1842)/(G1842/1.18),"")</f>
        <v/>
      </c>
      <c r="T268">
        <f>IF(H1842&gt;0,(H1842/1.18-I1842)/(H1842/1.18),"")</f>
        <v/>
      </c>
      <c r="U268" t="inlineStr">
        <is>
          <t>NOOS</t>
        </is>
      </c>
      <c r="V268" t="n">
        <v>1826.31</v>
      </c>
      <c r="W268" t="n">
        <v>722.3099999999999</v>
      </c>
      <c r="X268" t="n">
        <v>0.3955</v>
      </c>
    </row>
    <row r="269">
      <c r="A269" t="inlineStr">
        <is>
          <t>37375113</t>
        </is>
      </c>
      <c r="B269" t="inlineStr">
        <is>
          <t>PRODUCTO 753F22</t>
        </is>
      </c>
      <c r="C269" t="inlineStr">
        <is>
          <t>LACOSTE</t>
        </is>
      </c>
      <c r="D269" t="inlineStr">
        <is>
          <t>POLOS M/C</t>
        </is>
      </c>
      <c r="E269" t="inlineStr">
        <is>
          <t>MARCAS CASUAL NACIONAL HOMBRE</t>
        </is>
      </c>
      <c r="F269" t="n">
        <v>12</v>
      </c>
      <c r="G269" t="n">
        <v>299.99</v>
      </c>
      <c r="H269" t="n">
        <v>239.99</v>
      </c>
      <c r="I269" t="n">
        <v>114</v>
      </c>
      <c r="J269" t="inlineStr">
        <is>
          <t>PV</t>
        </is>
      </c>
      <c r="K269" t="inlineStr">
        <is>
          <t>RANGO 0_3</t>
        </is>
      </c>
      <c r="L269" t="n">
        <v>2</v>
      </c>
      <c r="M269" t="n">
        <v>2</v>
      </c>
      <c r="N269" t="n">
        <v>5</v>
      </c>
      <c r="O269" t="n">
        <v>5</v>
      </c>
      <c r="P269" t="n">
        <v>0</v>
      </c>
      <c r="R269">
        <f>IF(G1846&gt;0,1-H1846/G1846,"")</f>
        <v/>
      </c>
      <c r="S269">
        <f>IF(G1846&gt;0,(G1846/1.18-I1846)/(G1846/1.18),"")</f>
        <v/>
      </c>
      <c r="T269">
        <f>IF(H1846&gt;0,(H1846/1.18-I1846)/(H1846/1.18),"")</f>
        <v/>
      </c>
      <c r="U269" t="inlineStr">
        <is>
          <t>NOOS</t>
        </is>
      </c>
      <c r="V269" t="n">
        <v>2266.62</v>
      </c>
      <c r="W269" t="n">
        <v>898.62</v>
      </c>
      <c r="X269" t="n">
        <v>0.3965</v>
      </c>
    </row>
    <row r="270">
      <c r="A270" t="inlineStr">
        <is>
          <t>37375128</t>
        </is>
      </c>
      <c r="B270" t="inlineStr">
        <is>
          <t>PRODUCTO 0E31D7</t>
        </is>
      </c>
      <c r="C270" t="inlineStr">
        <is>
          <t>LACOSTE</t>
        </is>
      </c>
      <c r="D270" t="inlineStr">
        <is>
          <t>POLOS M/C</t>
        </is>
      </c>
      <c r="E270" t="inlineStr">
        <is>
          <t>MARCAS CASUAL NACIONAL HOMBRE</t>
        </is>
      </c>
      <c r="F270" t="n">
        <v>12</v>
      </c>
      <c r="G270" t="n">
        <v>299.99</v>
      </c>
      <c r="H270" t="n">
        <v>239.99</v>
      </c>
      <c r="I270" t="n">
        <v>107</v>
      </c>
      <c r="J270" t="inlineStr">
        <is>
          <t>PV</t>
        </is>
      </c>
      <c r="K270" t="inlineStr">
        <is>
          <t>RANGO 0_3</t>
        </is>
      </c>
      <c r="L270" t="n">
        <v>16</v>
      </c>
      <c r="M270" t="n">
        <v>1</v>
      </c>
      <c r="N270" t="n">
        <v>2</v>
      </c>
      <c r="O270" t="n">
        <v>1</v>
      </c>
      <c r="P270" t="n">
        <v>3</v>
      </c>
      <c r="R270">
        <f>IF(G1849&gt;0,1-H1849/G1849,"")</f>
        <v/>
      </c>
      <c r="S270">
        <f>IF(G1849&gt;0,(G1849/1.18-I1849)/(G1849/1.18),"")</f>
        <v/>
      </c>
      <c r="T270">
        <f>IF(H1849&gt;0,(H1849/1.18-I1849)/(H1849/1.18),"")</f>
        <v/>
      </c>
      <c r="U270" t="inlineStr">
        <is>
          <t>NOOS</t>
        </is>
      </c>
      <c r="V270" t="n">
        <v>1357.46</v>
      </c>
      <c r="W270" t="n">
        <v>608.46</v>
      </c>
      <c r="X270" t="n">
        <v>0.4482</v>
      </c>
    </row>
    <row r="271">
      <c r="A271" t="inlineStr">
        <is>
          <t>37375202</t>
        </is>
      </c>
      <c r="B271" t="inlineStr">
        <is>
          <t>PRODUCTO E8AB0A</t>
        </is>
      </c>
      <c r="C271" t="inlineStr">
        <is>
          <t>LACOSTE</t>
        </is>
      </c>
      <c r="D271" t="inlineStr">
        <is>
          <t>POLOS M/C</t>
        </is>
      </c>
      <c r="E271" t="inlineStr">
        <is>
          <t>MARCAS CASUAL NACIONAL HOMBRE</t>
        </is>
      </c>
      <c r="F271" t="n">
        <v>12</v>
      </c>
      <c r="G271" t="n">
        <v>399.99</v>
      </c>
      <c r="H271" t="n">
        <v>319.99</v>
      </c>
      <c r="I271" t="n">
        <v>135</v>
      </c>
      <c r="J271" t="inlineStr">
        <is>
          <t>PV</t>
        </is>
      </c>
      <c r="K271" t="inlineStr">
        <is>
          <t>RANGO 0_3</t>
        </is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R271">
        <f>IF(G1857&gt;0,1-H1857/G1857,"")</f>
        <v/>
      </c>
      <c r="S271">
        <f>IF(G1857&gt;0,(G1857/1.18-I1857)/(G1857/1.18),"")</f>
        <v/>
      </c>
      <c r="T271">
        <f>IF(H1857&gt;0,(H1857/1.18-I1857)/(H1857/1.18),"")</f>
        <v/>
      </c>
      <c r="U271" t="inlineStr">
        <is>
          <t>NOOS</t>
        </is>
      </c>
      <c r="V271" t="n">
        <v>57.63</v>
      </c>
      <c r="W271" t="n">
        <v>57.63</v>
      </c>
      <c r="X271" t="n">
        <v>1</v>
      </c>
    </row>
    <row r="272">
      <c r="A272" t="inlineStr">
        <is>
          <t>37376558</t>
        </is>
      </c>
      <c r="B272" t="inlineStr">
        <is>
          <t>PRODUCTO C18D7B</t>
        </is>
      </c>
      <c r="C272" t="inlineStr">
        <is>
          <t>LACOSTE</t>
        </is>
      </c>
      <c r="D272" t="inlineStr">
        <is>
          <t>PANTALONES</t>
        </is>
      </c>
      <c r="E272" t="inlineStr">
        <is>
          <t>MARCAS CASUAL NACIONAL HOMBRE</t>
        </is>
      </c>
      <c r="F272" t="n">
        <v>10</v>
      </c>
      <c r="G272" t="n">
        <v>549.99</v>
      </c>
      <c r="H272" t="n">
        <v>439.99</v>
      </c>
      <c r="I272" t="n">
        <v>186</v>
      </c>
      <c r="J272" t="inlineStr">
        <is>
          <t>PV</t>
        </is>
      </c>
      <c r="K272" t="inlineStr">
        <is>
          <t>RANGO 0_3</t>
        </is>
      </c>
      <c r="L272" t="n">
        <v>32</v>
      </c>
      <c r="M272" t="n">
        <v>13</v>
      </c>
      <c r="N272" t="n">
        <v>5</v>
      </c>
      <c r="O272" t="n">
        <v>25</v>
      </c>
      <c r="P272" t="n">
        <v>10</v>
      </c>
      <c r="R272">
        <f>IF(G1861&gt;0,1-H1861/G1861,"")</f>
        <v/>
      </c>
      <c r="S272">
        <f>IF(G1861&gt;0,(G1861/1.18-I1861)/(G1861/1.18),"")</f>
        <v/>
      </c>
      <c r="T272">
        <f>IF(H1861&gt;0,(H1861/1.18-I1861)/(H1861/1.18),"")</f>
        <v/>
      </c>
      <c r="U272" t="inlineStr">
        <is>
          <t>NOOS</t>
        </is>
      </c>
      <c r="V272" t="n">
        <v>17510.15</v>
      </c>
      <c r="W272" t="n">
        <v>7652.15</v>
      </c>
      <c r="X272" t="n">
        <v>0.437</v>
      </c>
    </row>
    <row r="273">
      <c r="A273" t="inlineStr">
        <is>
          <t>37376608</t>
        </is>
      </c>
      <c r="B273" t="inlineStr">
        <is>
          <t>PRODUCTO 174CCA</t>
        </is>
      </c>
      <c r="C273" t="inlineStr">
        <is>
          <t>LACOSTE</t>
        </is>
      </c>
      <c r="D273" t="inlineStr">
        <is>
          <t>POLOS M/C</t>
        </is>
      </c>
      <c r="E273" t="inlineStr">
        <is>
          <t>MARCAS CASUAL NACIONAL HOMBRE</t>
        </is>
      </c>
      <c r="F273" t="n">
        <v>11</v>
      </c>
      <c r="G273" t="n">
        <v>679.99</v>
      </c>
      <c r="H273" t="n">
        <v>543.99</v>
      </c>
      <c r="I273" t="n">
        <v>288</v>
      </c>
      <c r="J273" t="inlineStr">
        <is>
          <t>PV</t>
        </is>
      </c>
      <c r="K273" t="inlineStr">
        <is>
          <t>RANGO 0_3</t>
        </is>
      </c>
      <c r="L273" t="n">
        <v>4</v>
      </c>
      <c r="M273" t="n">
        <v>0</v>
      </c>
      <c r="N273" t="n">
        <v>2</v>
      </c>
      <c r="O273" t="n">
        <v>4</v>
      </c>
      <c r="P273" t="n">
        <v>0</v>
      </c>
      <c r="R273">
        <f>IF(G1863&gt;0,1-H1863/G1863,"")</f>
        <v/>
      </c>
      <c r="S273">
        <f>IF(G1863&gt;0,(G1863/1.18-I1863)/(G1863/1.18),"")</f>
        <v/>
      </c>
      <c r="T273">
        <f>IF(H1863&gt;0,(H1863/1.18-I1863)/(H1863/1.18),"")</f>
        <v/>
      </c>
      <c r="U273" t="inlineStr">
        <is>
          <t>NOOS</t>
        </is>
      </c>
      <c r="V273" t="n">
        <v>2290.19</v>
      </c>
      <c r="W273" t="n">
        <v>562.1900000000001</v>
      </c>
      <c r="X273" t="n">
        <v>0.2455</v>
      </c>
    </row>
    <row r="274">
      <c r="A274" t="inlineStr">
        <is>
          <t>37376655</t>
        </is>
      </c>
      <c r="B274" t="inlineStr">
        <is>
          <t>PRODUCTO 756D38</t>
        </is>
      </c>
      <c r="C274" t="inlineStr">
        <is>
          <t>LACOSTE</t>
        </is>
      </c>
      <c r="D274" t="inlineStr">
        <is>
          <t>PANTALONES</t>
        </is>
      </c>
      <c r="E274" t="inlineStr">
        <is>
          <t>MARCAS CASUAL NACIONAL HOMBRE</t>
        </is>
      </c>
      <c r="F274" t="n">
        <v>11</v>
      </c>
      <c r="G274" t="n">
        <v>599.99</v>
      </c>
      <c r="H274" t="n">
        <v>479.99</v>
      </c>
      <c r="I274" t="n">
        <v>203</v>
      </c>
      <c r="J274" t="inlineStr">
        <is>
          <t>PV</t>
        </is>
      </c>
      <c r="K274" t="inlineStr">
        <is>
          <t>RANGO 0_3</t>
        </is>
      </c>
      <c r="L274" t="n">
        <v>16</v>
      </c>
      <c r="M274" t="n">
        <v>0</v>
      </c>
      <c r="N274" t="n">
        <v>0</v>
      </c>
      <c r="O274" t="n">
        <v>0</v>
      </c>
      <c r="P274" t="n">
        <v>0</v>
      </c>
      <c r="R274">
        <f>IF(G1867&gt;0,1-H1867/G1867,"")</f>
        <v/>
      </c>
      <c r="S274">
        <f>IF(G1867&gt;0,(G1867/1.18-I1867)/(G1867/1.18),"")</f>
        <v/>
      </c>
      <c r="T274">
        <f>IF(H1867&gt;0,(H1867/1.18-I1867)/(H1867/1.18),"")</f>
        <v/>
      </c>
      <c r="U274" t="inlineStr">
        <is>
          <t>NOOS</t>
        </is>
      </c>
      <c r="V274" t="n">
        <v>0</v>
      </c>
      <c r="W274" t="n">
        <v>0</v>
      </c>
    </row>
    <row r="275">
      <c r="A275" t="inlineStr">
        <is>
          <t>37376693</t>
        </is>
      </c>
      <c r="B275" t="inlineStr">
        <is>
          <t>PRODUCTO 5958CC</t>
        </is>
      </c>
      <c r="C275" t="inlineStr">
        <is>
          <t>LACOSTE</t>
        </is>
      </c>
      <c r="D275" t="inlineStr">
        <is>
          <t>PANTALONES</t>
        </is>
      </c>
      <c r="E275" t="inlineStr">
        <is>
          <t>MARCAS CASUAL NACIONAL HOMBRE</t>
        </is>
      </c>
      <c r="F275" t="n">
        <v>11</v>
      </c>
      <c r="G275" t="n">
        <v>499.99</v>
      </c>
      <c r="H275" t="n">
        <v>399.99</v>
      </c>
      <c r="I275" t="n">
        <v>169</v>
      </c>
      <c r="J275" t="inlineStr">
        <is>
          <t>PV</t>
        </is>
      </c>
      <c r="K275" t="inlineStr">
        <is>
          <t>RANGO 0_3</t>
        </is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R275">
        <f>IF(G1870&gt;0,1-H1870/G1870,"")</f>
        <v/>
      </c>
      <c r="S275">
        <f>IF(G1870&gt;0,(G1870/1.18-I1870)/(G1870/1.18),"")</f>
        <v/>
      </c>
      <c r="T275">
        <f>IF(H1870&gt;0,(H1870/1.18-I1870)/(H1870/1.18),"")</f>
        <v/>
      </c>
      <c r="U275" t="inlineStr">
        <is>
          <t>NOOS</t>
        </is>
      </c>
      <c r="V275" t="n">
        <v>0</v>
      </c>
      <c r="W275" t="n">
        <v>0</v>
      </c>
    </row>
    <row r="276">
      <c r="A276" t="inlineStr">
        <is>
          <t>37376802</t>
        </is>
      </c>
      <c r="B276" t="inlineStr">
        <is>
          <t>PRODUCTO 546020</t>
        </is>
      </c>
      <c r="C276" t="inlineStr">
        <is>
          <t>LACOSTE</t>
        </is>
      </c>
      <c r="D276" t="inlineStr">
        <is>
          <t>CASACAS</t>
        </is>
      </c>
      <c r="E276" t="inlineStr">
        <is>
          <t>MARCAS CASUAL NACIONAL HOMBRE</t>
        </is>
      </c>
      <c r="F276" t="n">
        <v>10</v>
      </c>
      <c r="G276" t="n">
        <v>1039.99</v>
      </c>
      <c r="H276" t="n">
        <v>629.99</v>
      </c>
      <c r="I276" t="n">
        <v>441</v>
      </c>
      <c r="J276" t="inlineStr">
        <is>
          <t>PV</t>
        </is>
      </c>
      <c r="K276" t="inlineStr">
        <is>
          <t>RANGO 0_3</t>
        </is>
      </c>
      <c r="L276" t="n">
        <v>27</v>
      </c>
      <c r="M276" t="n">
        <v>0</v>
      </c>
      <c r="N276" t="n">
        <v>3</v>
      </c>
      <c r="O276" t="n">
        <v>2</v>
      </c>
      <c r="P276" t="n">
        <v>7</v>
      </c>
      <c r="R276">
        <f>IF(G1881&gt;0,1-H1881/G1881,"")</f>
        <v/>
      </c>
      <c r="S276">
        <f>IF(G1881&gt;0,(G1881/1.18-I1881)/(G1881/1.18),"")</f>
        <v/>
      </c>
      <c r="T276">
        <f>IF(H1881&gt;0,(H1881/1.18-I1881)/(H1881/1.18),"")</f>
        <v/>
      </c>
      <c r="U276" t="inlineStr">
        <is>
          <t>NOOS</t>
        </is>
      </c>
      <c r="V276" t="n">
        <v>6372.78</v>
      </c>
      <c r="W276" t="n">
        <v>1080.78</v>
      </c>
      <c r="X276" t="n">
        <v>0.1696</v>
      </c>
    </row>
    <row r="277">
      <c r="A277" t="inlineStr">
        <is>
          <t>37376815</t>
        </is>
      </c>
      <c r="B277" t="inlineStr">
        <is>
          <t>PRODUCTO 47363A</t>
        </is>
      </c>
      <c r="C277" t="inlineStr">
        <is>
          <t>LACOSTE</t>
        </is>
      </c>
      <c r="D277" t="inlineStr">
        <is>
          <t>CASACAS</t>
        </is>
      </c>
      <c r="E277" t="inlineStr">
        <is>
          <t>MARCAS CASUAL NACIONAL HOMBRE</t>
        </is>
      </c>
      <c r="F277" t="n">
        <v>11</v>
      </c>
      <c r="G277" t="n">
        <v>999.99</v>
      </c>
      <c r="H277" t="n">
        <v>599.99</v>
      </c>
      <c r="I277" t="n">
        <v>424</v>
      </c>
      <c r="J277" t="inlineStr">
        <is>
          <t>PV</t>
        </is>
      </c>
      <c r="K277" t="inlineStr">
        <is>
          <t>RANGO 0_3</t>
        </is>
      </c>
      <c r="L277" t="n">
        <v>2</v>
      </c>
      <c r="M277" t="n">
        <v>0</v>
      </c>
      <c r="N277" t="n">
        <v>3</v>
      </c>
      <c r="O277" t="n">
        <v>2</v>
      </c>
      <c r="P277" t="n">
        <v>1</v>
      </c>
      <c r="R277">
        <f>IF(G1883&gt;0,1-H1883/G1883,"")</f>
        <v/>
      </c>
      <c r="S277">
        <f>IF(G1883&gt;0,(G1883/1.18-I1883)/(G1883/1.18),"")</f>
        <v/>
      </c>
      <c r="T277">
        <f>IF(H1883&gt;0,(H1883/1.18-I1883)/(H1883/1.18),"")</f>
        <v/>
      </c>
      <c r="U277" t="inlineStr">
        <is>
          <t>NOOS</t>
        </is>
      </c>
      <c r="V277" t="n">
        <v>2923.53</v>
      </c>
      <c r="W277" t="n">
        <v>379.53</v>
      </c>
      <c r="X277" t="n">
        <v>0.1298</v>
      </c>
    </row>
    <row r="278">
      <c r="A278" t="inlineStr">
        <is>
          <t>37390140</t>
        </is>
      </c>
      <c r="B278" t="inlineStr">
        <is>
          <t>PRODUCTO 5AD1AF</t>
        </is>
      </c>
      <c r="C278" t="inlineStr">
        <is>
          <t>NORTON</t>
        </is>
      </c>
      <c r="D278" t="inlineStr">
        <is>
          <t>CAMISAS M/L</t>
        </is>
      </c>
      <c r="E278" t="inlineStr">
        <is>
          <t>MARCAS CASUAL NACIONAL HOMBRE</t>
        </is>
      </c>
      <c r="F278" t="n">
        <v>11</v>
      </c>
      <c r="G278" t="n">
        <v>189.99</v>
      </c>
      <c r="H278" t="n">
        <v>151.99</v>
      </c>
      <c r="I278" t="n">
        <v>104.55</v>
      </c>
      <c r="J278" t="inlineStr">
        <is>
          <t>PV</t>
        </is>
      </c>
      <c r="K278" t="inlineStr">
        <is>
          <t>RANGO 0_3</t>
        </is>
      </c>
      <c r="L278" t="n">
        <v>8</v>
      </c>
      <c r="M278" t="n">
        <v>0</v>
      </c>
      <c r="N278" t="n">
        <v>2</v>
      </c>
      <c r="O278" t="n">
        <v>1</v>
      </c>
      <c r="P278" t="n">
        <v>0</v>
      </c>
      <c r="R278">
        <f>IF(G1889&gt;0,1-H1889/G1889,"")</f>
        <v/>
      </c>
      <c r="S278">
        <f>IF(G1889&gt;0,(G1889/1.18-I1889)/(G1889/1.18),"")</f>
        <v/>
      </c>
      <c r="T278">
        <f>IF(H1889&gt;0,(H1889/1.18-I1889)/(H1889/1.18),"")</f>
        <v/>
      </c>
      <c r="U278" t="inlineStr">
        <is>
          <t>NOOS</t>
        </is>
      </c>
      <c r="V278" t="n">
        <v>483.03</v>
      </c>
      <c r="W278" t="n">
        <v>169.08</v>
      </c>
      <c r="X278" t="n">
        <v>0.35</v>
      </c>
    </row>
    <row r="279">
      <c r="A279" t="inlineStr">
        <is>
          <t>37395314</t>
        </is>
      </c>
      <c r="B279" t="inlineStr">
        <is>
          <t>PRODUCTO BF51EB</t>
        </is>
      </c>
      <c r="C279" t="inlineStr">
        <is>
          <t>PIERRE CARDIN</t>
        </is>
      </c>
      <c r="D279" t="inlineStr">
        <is>
          <t>CAMISAS M/L</t>
        </is>
      </c>
      <c r="E279" t="inlineStr">
        <is>
          <t>MARCAS CASUAL NACIONAL HOMBRE</t>
        </is>
      </c>
      <c r="F279" t="n">
        <v>5</v>
      </c>
      <c r="G279" t="n">
        <v>249</v>
      </c>
      <c r="H279" t="n">
        <v>99</v>
      </c>
      <c r="I279" t="n">
        <v>137.16</v>
      </c>
      <c r="J279" t="inlineStr">
        <is>
          <t>PV</t>
        </is>
      </c>
      <c r="K279" t="inlineStr">
        <is>
          <t>RANGO 0_3</t>
        </is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R279">
        <f>IF(G1895&gt;0,1-H1895/G1895,"")</f>
        <v/>
      </c>
      <c r="S279">
        <f>IF(G1895&gt;0,(G1895/1.18-I1895)/(G1895/1.18),"")</f>
        <v/>
      </c>
      <c r="T279">
        <f>IF(H1895&gt;0,(H1895/1.18-I1895)/(H1895/1.18),"")</f>
        <v/>
      </c>
      <c r="U279" t="inlineStr">
        <is>
          <t>NOOS</t>
        </is>
      </c>
      <c r="V279" t="n">
        <v>189.41</v>
      </c>
      <c r="W279" t="n">
        <v>66.3</v>
      </c>
      <c r="X279" t="n">
        <v>0.35</v>
      </c>
    </row>
    <row r="280">
      <c r="A280" t="inlineStr">
        <is>
          <t>37395384</t>
        </is>
      </c>
      <c r="B280" t="inlineStr">
        <is>
          <t>PRODUCTO AE4F28</t>
        </is>
      </c>
      <c r="C280" t="inlineStr">
        <is>
          <t>PIERRE CARDIN</t>
        </is>
      </c>
      <c r="D280" t="inlineStr">
        <is>
          <t>POLOS M/C</t>
        </is>
      </c>
      <c r="E280" t="inlineStr">
        <is>
          <t>MARCAS CASUAL NACIONAL HOMBRE</t>
        </is>
      </c>
      <c r="F280" t="n">
        <v>11</v>
      </c>
      <c r="G280" t="n">
        <v>229</v>
      </c>
      <c r="H280" t="n">
        <v>229</v>
      </c>
      <c r="I280" t="n">
        <v>126.14</v>
      </c>
      <c r="J280" t="inlineStr">
        <is>
          <t>PV</t>
        </is>
      </c>
      <c r="K280" t="inlineStr">
        <is>
          <t>RANGO 0_3</t>
        </is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R280">
        <f>IF(G1899&gt;0,1-H1899/G1899,"")</f>
        <v/>
      </c>
      <c r="S280">
        <f>IF(G1899&gt;0,(G1899/1.18-I1899)/(G1899/1.18),"")</f>
        <v/>
      </c>
      <c r="T280">
        <f>IF(H1899&gt;0,(H1899/1.18-I1899)/(H1899/1.18),"")</f>
        <v/>
      </c>
      <c r="U280" t="inlineStr">
        <is>
          <t>NOOS</t>
        </is>
      </c>
      <c r="V280" t="n">
        <v>194.06</v>
      </c>
      <c r="W280" t="n">
        <v>67.90000000000001</v>
      </c>
      <c r="X280" t="n">
        <v>0.3499</v>
      </c>
    </row>
    <row r="281">
      <c r="A281" t="inlineStr">
        <is>
          <t>37400985</t>
        </is>
      </c>
      <c r="B281" t="inlineStr">
        <is>
          <t>PRODUCTO 2E9207</t>
        </is>
      </c>
      <c r="C281" t="inlineStr">
        <is>
          <t>OSCAR DE LA RENTA</t>
        </is>
      </c>
      <c r="D281" t="inlineStr">
        <is>
          <t>POLOS M/C</t>
        </is>
      </c>
      <c r="E281" t="inlineStr">
        <is>
          <t>MARCAS CASUAL INTERNACIONAL HOMBRE</t>
        </is>
      </c>
      <c r="F281" t="n">
        <v>0</v>
      </c>
      <c r="G281" t="n">
        <v>199.99</v>
      </c>
      <c r="H281" t="n">
        <v>199.99</v>
      </c>
      <c r="I281" t="n">
        <v>69.19</v>
      </c>
      <c r="J281" t="inlineStr">
        <is>
          <t>PV</t>
        </is>
      </c>
      <c r="K281" t="inlineStr">
        <is>
          <t>RANGO 0_3</t>
        </is>
      </c>
      <c r="L281" t="n">
        <v>13</v>
      </c>
      <c r="M281" t="n">
        <v>1</v>
      </c>
      <c r="N281" t="n">
        <v>2</v>
      </c>
      <c r="O281" t="n">
        <v>1</v>
      </c>
      <c r="P281" t="n">
        <v>0</v>
      </c>
      <c r="R281">
        <f>IF(G1907&gt;0,1-H1907/G1907,"")</f>
        <v/>
      </c>
      <c r="S281">
        <f>IF(G1907&gt;0,(G1907/1.18-I1907)/(G1907/1.18),"")</f>
        <v/>
      </c>
      <c r="T281">
        <f>IF(H1907&gt;0,(H1907/1.18-I1907)/(H1907/1.18),"")</f>
        <v/>
      </c>
      <c r="U281" t="inlineStr">
        <is>
          <t>NOOS</t>
        </is>
      </c>
      <c r="V281" t="n">
        <v>559.21</v>
      </c>
      <c r="W281" t="n">
        <v>281.28</v>
      </c>
      <c r="X281" t="n">
        <v>0.503</v>
      </c>
    </row>
    <row r="282">
      <c r="A282" t="inlineStr">
        <is>
          <t>37401031</t>
        </is>
      </c>
      <c r="B282" t="inlineStr">
        <is>
          <t>PRODUCTO 9D7497</t>
        </is>
      </c>
      <c r="C282" t="inlineStr">
        <is>
          <t>OSCAR DE LA RENTA</t>
        </is>
      </c>
      <c r="D282" t="inlineStr">
        <is>
          <t>POLOS M/C</t>
        </is>
      </c>
      <c r="E282" t="inlineStr">
        <is>
          <t>MARCAS CASUAL INTERNACIONAL HOMBRE</t>
        </is>
      </c>
      <c r="F282" t="n">
        <v>0</v>
      </c>
      <c r="G282" t="n">
        <v>199.99</v>
      </c>
      <c r="H282" t="n">
        <v>199.99</v>
      </c>
      <c r="I282" t="n">
        <v>69.3</v>
      </c>
      <c r="J282" t="inlineStr">
        <is>
          <t>PV</t>
        </is>
      </c>
      <c r="K282" t="inlineStr">
        <is>
          <t>RANGO 0_3</t>
        </is>
      </c>
      <c r="L282" t="n">
        <v>12</v>
      </c>
      <c r="M282" t="n">
        <v>6</v>
      </c>
      <c r="N282" t="n">
        <v>5</v>
      </c>
      <c r="O282" t="n">
        <v>9</v>
      </c>
      <c r="P282" t="n">
        <v>2</v>
      </c>
      <c r="R282">
        <f>IF(G1915&gt;0,1-H1915/G1915,"")</f>
        <v/>
      </c>
      <c r="S282">
        <f>IF(G1915&gt;0,(G1915/1.18-I1915)/(G1915/1.18),"")</f>
        <v/>
      </c>
      <c r="T282">
        <f>IF(H1915&gt;0,(H1915/1.18-I1915)/(H1915/1.18),"")</f>
        <v/>
      </c>
      <c r="U282" t="inlineStr">
        <is>
          <t>NOOS</t>
        </is>
      </c>
      <c r="V282" t="n">
        <v>3104.63</v>
      </c>
      <c r="W282" t="n">
        <v>1579.28</v>
      </c>
      <c r="X282" t="n">
        <v>0.5087</v>
      </c>
    </row>
    <row r="283">
      <c r="A283" t="inlineStr">
        <is>
          <t>37404121</t>
        </is>
      </c>
      <c r="B283" t="inlineStr">
        <is>
          <t>PRODUCTO 0FEE04</t>
        </is>
      </c>
      <c r="C283" t="inlineStr">
        <is>
          <t>OSCAR DE LA RENTA</t>
        </is>
      </c>
      <c r="D283" t="inlineStr">
        <is>
          <t>CAMISAS M/L</t>
        </is>
      </c>
      <c r="E283" t="inlineStr">
        <is>
          <t>MARCAS CASUAL INTERNACIONAL HOMBRE</t>
        </is>
      </c>
      <c r="F283" t="n">
        <v>0</v>
      </c>
      <c r="G283" t="n">
        <v>199.99</v>
      </c>
      <c r="H283" t="n">
        <v>199.99</v>
      </c>
      <c r="I283" t="n">
        <v>73.52</v>
      </c>
      <c r="J283" t="inlineStr">
        <is>
          <t>PV</t>
        </is>
      </c>
      <c r="K283" t="inlineStr">
        <is>
          <t>RANGO 0_3</t>
        </is>
      </c>
      <c r="L283" t="n">
        <v>66</v>
      </c>
      <c r="M283" t="n">
        <v>3</v>
      </c>
      <c r="N283" t="n">
        <v>2</v>
      </c>
      <c r="O283" t="n">
        <v>0</v>
      </c>
      <c r="P283" t="n">
        <v>0</v>
      </c>
      <c r="R283">
        <f>IF(G1923&gt;0,1-H1923/G1923,"")</f>
        <v/>
      </c>
      <c r="S283">
        <f>IF(G1923&gt;0,(G1923/1.18-I1923)/(G1923/1.18),"")</f>
        <v/>
      </c>
      <c r="T283">
        <f>IF(H1923&gt;0,(H1923/1.18-I1923)/(H1923/1.18),"")</f>
        <v/>
      </c>
      <c r="U283" t="inlineStr">
        <is>
          <t>NOOS</t>
        </is>
      </c>
      <c r="V283" t="n">
        <v>745.72</v>
      </c>
      <c r="W283" t="n">
        <v>378.12</v>
      </c>
      <c r="X283" t="n">
        <v>0.5071</v>
      </c>
    </row>
    <row r="284">
      <c r="A284" t="inlineStr">
        <is>
          <t>37404126</t>
        </is>
      </c>
      <c r="B284" t="inlineStr">
        <is>
          <t>PRODUCTO 26FE6D</t>
        </is>
      </c>
      <c r="C284" t="inlineStr">
        <is>
          <t>OSCAR DE LA RENTA</t>
        </is>
      </c>
      <c r="D284" t="inlineStr">
        <is>
          <t>CAMISAS M/L</t>
        </is>
      </c>
      <c r="E284" t="inlineStr">
        <is>
          <t>MARCAS CASUAL INTERNACIONAL HOMBRE</t>
        </is>
      </c>
      <c r="F284" t="n">
        <v>0</v>
      </c>
      <c r="G284" t="n">
        <v>199.99</v>
      </c>
      <c r="H284" t="n">
        <v>199.99</v>
      </c>
      <c r="I284" t="n">
        <v>73.52</v>
      </c>
      <c r="J284" t="inlineStr">
        <is>
          <t>PV</t>
        </is>
      </c>
      <c r="K284" t="inlineStr">
        <is>
          <t>RANGO 0_3</t>
        </is>
      </c>
      <c r="L284" t="n">
        <v>12</v>
      </c>
      <c r="M284" t="n">
        <v>1</v>
      </c>
      <c r="N284" t="n">
        <v>1</v>
      </c>
      <c r="O284" t="n">
        <v>1</v>
      </c>
      <c r="P284" t="n">
        <v>0</v>
      </c>
      <c r="R284">
        <f>IF(G1924&gt;0,1-H1924/G1924,"")</f>
        <v/>
      </c>
      <c r="S284">
        <f>IF(G1924&gt;0,(G1924/1.18-I1924)/(G1924/1.18),"")</f>
        <v/>
      </c>
      <c r="T284">
        <f>IF(H1924&gt;0,(H1924/1.18-I1924)/(H1924/1.18),"")</f>
        <v/>
      </c>
      <c r="U284" t="inlineStr">
        <is>
          <t>NOOS</t>
        </is>
      </c>
      <c r="V284" t="n">
        <v>395.14</v>
      </c>
      <c r="W284" t="n">
        <v>174.58</v>
      </c>
      <c r="X284" t="n">
        <v>0.4418</v>
      </c>
    </row>
    <row r="285">
      <c r="A285" t="inlineStr">
        <is>
          <t>37404141</t>
        </is>
      </c>
      <c r="B285" t="inlineStr">
        <is>
          <t>PRODUCTO 42027C</t>
        </is>
      </c>
      <c r="C285" t="inlineStr">
        <is>
          <t>OSCAR DE LA RENTA</t>
        </is>
      </c>
      <c r="D285" t="inlineStr">
        <is>
          <t>CAMISAS M/L</t>
        </is>
      </c>
      <c r="E285" t="inlineStr">
        <is>
          <t>MARCAS CASUAL INTERNACIONAL HOMBRE</t>
        </is>
      </c>
      <c r="F285" t="n">
        <v>0</v>
      </c>
      <c r="G285" t="n">
        <v>199.99</v>
      </c>
      <c r="H285" t="n">
        <v>199.99</v>
      </c>
      <c r="I285" t="n">
        <v>73.52</v>
      </c>
      <c r="J285" t="inlineStr">
        <is>
          <t>PV</t>
        </is>
      </c>
      <c r="K285" t="inlineStr">
        <is>
          <t>RANGO 0_3</t>
        </is>
      </c>
      <c r="L285" t="n">
        <v>12</v>
      </c>
      <c r="M285" t="n">
        <v>2</v>
      </c>
      <c r="N285" t="n">
        <v>3</v>
      </c>
      <c r="O285" t="n">
        <v>0</v>
      </c>
      <c r="P285" t="n">
        <v>0</v>
      </c>
      <c r="R285">
        <f>IF(G1927&gt;0,1-H1927/G1927,"")</f>
        <v/>
      </c>
      <c r="S285">
        <f>IF(G1927&gt;0,(G1927/1.18-I1927)/(G1927/1.18),"")</f>
        <v/>
      </c>
      <c r="T285">
        <f>IF(H1927&gt;0,(H1927/1.18-I1927)/(H1927/1.18),"")</f>
        <v/>
      </c>
      <c r="U285" t="inlineStr">
        <is>
          <t>NOOS</t>
        </is>
      </c>
      <c r="V285" t="n">
        <v>666.0599999999999</v>
      </c>
      <c r="W285" t="n">
        <v>298.46</v>
      </c>
      <c r="X285" t="n">
        <v>0.4481</v>
      </c>
    </row>
    <row r="286">
      <c r="A286" t="inlineStr">
        <is>
          <t>37404166</t>
        </is>
      </c>
      <c r="B286" t="inlineStr">
        <is>
          <t>PRODUCTO B630FD</t>
        </is>
      </c>
      <c r="C286" t="inlineStr">
        <is>
          <t>OSCAR DE LA RENTA</t>
        </is>
      </c>
      <c r="D286" t="inlineStr">
        <is>
          <t>CAMISAS M/L</t>
        </is>
      </c>
      <c r="E286" t="inlineStr">
        <is>
          <t>MARCAS CASUAL INTERNACIONAL HOMBRE</t>
        </is>
      </c>
      <c r="F286" t="n">
        <v>0</v>
      </c>
      <c r="G286" t="n">
        <v>199.99</v>
      </c>
      <c r="H286" t="n">
        <v>199.99</v>
      </c>
      <c r="I286" t="n">
        <v>73.52</v>
      </c>
      <c r="J286" t="inlineStr">
        <is>
          <t>PV</t>
        </is>
      </c>
      <c r="K286" t="inlineStr">
        <is>
          <t>RANGO 0_3</t>
        </is>
      </c>
      <c r="L286" t="n">
        <v>28</v>
      </c>
      <c r="M286" t="n">
        <v>6</v>
      </c>
      <c r="N286" t="n">
        <v>1</v>
      </c>
      <c r="O286" t="n">
        <v>0</v>
      </c>
      <c r="P286" t="n">
        <v>0</v>
      </c>
      <c r="R286">
        <f>IF(G1932&gt;0,1-H1932/G1932,"")</f>
        <v/>
      </c>
      <c r="S286">
        <f>IF(G1932&gt;0,(G1932/1.18-I1932)/(G1932/1.18),"")</f>
        <v/>
      </c>
      <c r="T286">
        <f>IF(H1932&gt;0,(H1932/1.18-I1932)/(H1932/1.18),"")</f>
        <v/>
      </c>
      <c r="U286" t="inlineStr">
        <is>
          <t>NOOS</t>
        </is>
      </c>
      <c r="V286" t="n">
        <v>870.4400000000001</v>
      </c>
      <c r="W286" t="n">
        <v>355.8</v>
      </c>
      <c r="X286" t="n">
        <v>0.4088</v>
      </c>
    </row>
    <row r="287">
      <c r="A287" t="inlineStr">
        <is>
          <t>37406322</t>
        </is>
      </c>
      <c r="B287" t="inlineStr">
        <is>
          <t>PRODUCTO 546CC6</t>
        </is>
      </c>
      <c r="C287" t="inlineStr">
        <is>
          <t>LACOSTE</t>
        </is>
      </c>
      <c r="D287" t="inlineStr">
        <is>
          <t>CHOMPAS</t>
        </is>
      </c>
      <c r="E287" t="inlineStr">
        <is>
          <t>MARCAS CASUAL NACIONAL HOMBRE</t>
        </is>
      </c>
      <c r="F287" t="n">
        <v>10</v>
      </c>
      <c r="G287" t="n">
        <v>519.99</v>
      </c>
      <c r="H287" t="n">
        <v>259.99</v>
      </c>
      <c r="I287" t="n">
        <v>176</v>
      </c>
      <c r="J287" t="inlineStr">
        <is>
          <t>PV</t>
        </is>
      </c>
      <c r="K287" t="inlineStr">
        <is>
          <t>RANGO 0_3</t>
        </is>
      </c>
      <c r="L287" t="n">
        <v>118</v>
      </c>
      <c r="M287" t="n">
        <v>1</v>
      </c>
      <c r="N287" t="n">
        <v>2</v>
      </c>
      <c r="O287" t="n">
        <v>6</v>
      </c>
      <c r="P287" t="n">
        <v>9</v>
      </c>
      <c r="R287">
        <f>IF(G1939&gt;0,1-H1939/G1939,"")</f>
        <v/>
      </c>
      <c r="S287">
        <f>IF(G1939&gt;0,(G1939/1.18-I1939)/(G1939/1.18),"")</f>
        <v/>
      </c>
      <c r="T287">
        <f>IF(H1939&gt;0,(H1939/1.18-I1939)/(H1939/1.18),"")</f>
        <v/>
      </c>
      <c r="U287" t="inlineStr">
        <is>
          <t>NOOS</t>
        </is>
      </c>
      <c r="V287" t="n">
        <v>3693.53</v>
      </c>
      <c r="W287" t="n">
        <v>525.53</v>
      </c>
      <c r="X287" t="n">
        <v>0.1423</v>
      </c>
    </row>
    <row r="288">
      <c r="A288" t="inlineStr">
        <is>
          <t>37443694</t>
        </is>
      </c>
      <c r="B288" t="inlineStr">
        <is>
          <t>PRODUCTO 3464DC</t>
        </is>
      </c>
      <c r="C288" t="inlineStr">
        <is>
          <t>DOCKERS</t>
        </is>
      </c>
      <c r="D288" t="inlineStr">
        <is>
          <t>CASACAS</t>
        </is>
      </c>
      <c r="E288" t="inlineStr">
        <is>
          <t>MARCAS CASUAL NACIONAL HOMBRE</t>
        </is>
      </c>
      <c r="F288" t="n">
        <v>8</v>
      </c>
      <c r="G288" t="n">
        <v>349</v>
      </c>
      <c r="H288" t="n">
        <v>349</v>
      </c>
      <c r="I288" t="n">
        <v>177.46</v>
      </c>
      <c r="J288" t="inlineStr">
        <is>
          <t>PV</t>
        </is>
      </c>
      <c r="K288" t="inlineStr">
        <is>
          <t>RANGO 0_3</t>
        </is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R288">
        <f>IF(G1960&gt;0,1-H1960/G1960,"")</f>
        <v/>
      </c>
      <c r="S288">
        <f>IF(G1960&gt;0,(G1960/1.18-I1960)/(G1960/1.18),"")</f>
        <v/>
      </c>
      <c r="T288">
        <f>IF(H1960&gt;0,(H1960/1.18-I1960)/(H1960/1.18),"")</f>
        <v/>
      </c>
      <c r="U288" t="inlineStr">
        <is>
          <t>NOOS</t>
        </is>
      </c>
      <c r="V288" t="n">
        <v>0</v>
      </c>
      <c r="W288" t="n">
        <v>0</v>
      </c>
    </row>
    <row r="289">
      <c r="A289" t="inlineStr">
        <is>
          <t>37449412</t>
        </is>
      </c>
      <c r="B289" t="inlineStr">
        <is>
          <t>PRODUCTO 474DE9</t>
        </is>
      </c>
      <c r="C289" t="inlineStr">
        <is>
          <t>PIERRE CARDIN</t>
        </is>
      </c>
      <c r="D289" t="inlineStr">
        <is>
          <t>CAMISAS M/L</t>
        </is>
      </c>
      <c r="E289" t="inlineStr">
        <is>
          <t>MARCAS CASUAL NACIONAL HOMBRE</t>
        </is>
      </c>
      <c r="F289" t="n">
        <v>8</v>
      </c>
      <c r="G289" t="n">
        <v>249</v>
      </c>
      <c r="H289" t="n">
        <v>99</v>
      </c>
      <c r="I289" t="n">
        <v>137.16</v>
      </c>
      <c r="J289" t="inlineStr">
        <is>
          <t>PV</t>
        </is>
      </c>
      <c r="K289" t="inlineStr">
        <is>
          <t>RANGO 0_3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R289">
        <f>IF(G1968&gt;0,1-H1968/G1968,"")</f>
        <v/>
      </c>
      <c r="S289">
        <f>IF(G1968&gt;0,(G1968/1.18-I1968)/(G1968/1.18),"")</f>
        <v/>
      </c>
      <c r="T289">
        <f>IF(H1968&gt;0,(H1968/1.18-I1968)/(H1968/1.18),"")</f>
        <v/>
      </c>
      <c r="U289" t="inlineStr">
        <is>
          <t>NOOS</t>
        </is>
      </c>
      <c r="V289" t="n">
        <v>0</v>
      </c>
      <c r="W289" t="n">
        <v>0</v>
      </c>
    </row>
    <row r="290">
      <c r="A290" t="inlineStr">
        <is>
          <t>37450626</t>
        </is>
      </c>
      <c r="B290" t="inlineStr">
        <is>
          <t>PRODUCTO 4AF2BC</t>
        </is>
      </c>
      <c r="C290" t="inlineStr">
        <is>
          <t>NAUTICA</t>
        </is>
      </c>
      <c r="D290" t="inlineStr">
        <is>
          <t>POLOS M/C</t>
        </is>
      </c>
      <c r="E290" t="inlineStr">
        <is>
          <t>MARCAS CASUAL INTERNACIONAL HOMBRE</t>
        </is>
      </c>
      <c r="F290" t="n">
        <v>0</v>
      </c>
      <c r="G290" t="n">
        <v>299.99</v>
      </c>
      <c r="H290" t="n">
        <v>299.99</v>
      </c>
      <c r="I290" t="n">
        <v>105.78</v>
      </c>
      <c r="J290" t="inlineStr">
        <is>
          <t>PV</t>
        </is>
      </c>
      <c r="K290" t="inlineStr">
        <is>
          <t>RANGO 0_3</t>
        </is>
      </c>
      <c r="L290" t="n">
        <v>24</v>
      </c>
      <c r="M290" t="n">
        <v>0</v>
      </c>
      <c r="N290" t="n">
        <v>0</v>
      </c>
      <c r="O290" t="n">
        <v>0</v>
      </c>
      <c r="P290" t="n">
        <v>0</v>
      </c>
      <c r="R290">
        <f>IF(G1975&gt;0,1-H1975/G1975,"")</f>
        <v/>
      </c>
      <c r="S290">
        <f>IF(G1975&gt;0,(G1975/1.18-I1975)/(G1975/1.18),"")</f>
        <v/>
      </c>
      <c r="T290">
        <f>IF(H1975&gt;0,(H1975/1.18-I1975)/(H1975/1.18),"")</f>
        <v/>
      </c>
      <c r="U290" t="inlineStr">
        <is>
          <t>NOOS</t>
        </is>
      </c>
      <c r="V290" t="n">
        <v>0</v>
      </c>
      <c r="W290" t="n">
        <v>0</v>
      </c>
    </row>
    <row r="291">
      <c r="A291" t="inlineStr">
        <is>
          <t>37456391</t>
        </is>
      </c>
      <c r="B291" t="inlineStr">
        <is>
          <t>PRODUCTO A30D14</t>
        </is>
      </c>
      <c r="C291" t="inlineStr">
        <is>
          <t>JOHN HOLDEN</t>
        </is>
      </c>
      <c r="D291" t="inlineStr">
        <is>
          <t>CAMISAS M/C</t>
        </is>
      </c>
      <c r="E291" t="inlineStr">
        <is>
          <t>MARCAS CASUAL NACIONAL HOMBRE</t>
        </is>
      </c>
      <c r="F291" t="n">
        <v>3</v>
      </c>
      <c r="G291" t="n">
        <v>169.9</v>
      </c>
      <c r="H291" t="n">
        <v>135.92</v>
      </c>
      <c r="I291" t="n">
        <v>71.98999999999999</v>
      </c>
      <c r="J291" t="inlineStr">
        <is>
          <t>PV</t>
        </is>
      </c>
      <c r="K291" t="inlineStr">
        <is>
          <t>RANGO 0_3</t>
        </is>
      </c>
      <c r="L291" t="n">
        <v>5</v>
      </c>
      <c r="M291" t="n">
        <v>1</v>
      </c>
      <c r="N291" t="n">
        <v>1</v>
      </c>
      <c r="O291" t="n">
        <v>2</v>
      </c>
      <c r="P291" t="n">
        <v>1</v>
      </c>
      <c r="R291">
        <f>IF(G1991&gt;0,1-H1991/G1991,"")</f>
        <v/>
      </c>
      <c r="S291">
        <f>IF(G1991&gt;0,(G1991/1.18-I1991)/(G1991/1.18),"")</f>
        <v/>
      </c>
      <c r="T291">
        <f>IF(H1991&gt;0,(H1991/1.18-I1991)/(H1991/1.18),"")</f>
        <v/>
      </c>
      <c r="U291" t="inlineStr">
        <is>
          <t>NOOS</t>
        </is>
      </c>
      <c r="V291" t="n">
        <v>691.11</v>
      </c>
      <c r="W291" t="n">
        <v>331.16</v>
      </c>
      <c r="X291" t="n">
        <v>0.4792</v>
      </c>
    </row>
    <row r="292">
      <c r="A292" t="inlineStr">
        <is>
          <t>37460078</t>
        </is>
      </c>
      <c r="B292" t="inlineStr">
        <is>
          <t>PRODUCTO DC4C82</t>
        </is>
      </c>
      <c r="C292" t="inlineStr">
        <is>
          <t>PIERRE CARDIN</t>
        </is>
      </c>
      <c r="D292" t="inlineStr">
        <is>
          <t>CAMISAS M/L</t>
        </is>
      </c>
      <c r="E292" t="inlineStr">
        <is>
          <t>MARCAS CASUAL NACIONAL HOMBRE</t>
        </is>
      </c>
      <c r="F292" t="n">
        <v>6</v>
      </c>
      <c r="G292" t="n">
        <v>249</v>
      </c>
      <c r="H292" t="n">
        <v>99</v>
      </c>
      <c r="I292" t="n">
        <v>137.16</v>
      </c>
      <c r="J292" t="inlineStr">
        <is>
          <t>PV</t>
        </is>
      </c>
      <c r="K292" t="inlineStr">
        <is>
          <t>RANGO 0_3</t>
        </is>
      </c>
      <c r="L292" t="n">
        <v>0</v>
      </c>
      <c r="M292" t="n">
        <v>10</v>
      </c>
      <c r="N292" t="n">
        <v>17</v>
      </c>
      <c r="O292" t="n">
        <v>10</v>
      </c>
      <c r="P292" t="n">
        <v>5</v>
      </c>
      <c r="R292">
        <f>IF(G1998&gt;0,1-H1998/G1998,"")</f>
        <v/>
      </c>
      <c r="S292">
        <f>IF(G1998&gt;0,(G1998/1.18-I1998)/(G1998/1.18),"")</f>
        <v/>
      </c>
      <c r="T292">
        <f>IF(H1998&gt;0,(H1998/1.18-I1998)/(H1998/1.18),"")</f>
        <v/>
      </c>
      <c r="U292" t="inlineStr">
        <is>
          <t>NOOS</t>
        </is>
      </c>
      <c r="V292" t="n">
        <v>3634.84</v>
      </c>
      <c r="W292" t="n">
        <v>1272.36</v>
      </c>
      <c r="X292" t="n">
        <v>0.35</v>
      </c>
    </row>
    <row r="293">
      <c r="A293" t="inlineStr">
        <is>
          <t>37465856</t>
        </is>
      </c>
      <c r="B293" t="inlineStr">
        <is>
          <t>PRODUCTO 4F6D5D</t>
        </is>
      </c>
      <c r="C293" t="inlineStr">
        <is>
          <t>OSCAR DE LA RENTA</t>
        </is>
      </c>
      <c r="D293" t="inlineStr">
        <is>
          <t>POLOS M/C</t>
        </is>
      </c>
      <c r="E293" t="inlineStr">
        <is>
          <t>MARCAS CASUAL INTERNACIONAL HOMBRE</t>
        </is>
      </c>
      <c r="F293" t="n">
        <v>0</v>
      </c>
      <c r="G293" t="n">
        <v>199.99</v>
      </c>
      <c r="H293" t="n">
        <v>199.99</v>
      </c>
      <c r="I293" t="n">
        <v>67.48</v>
      </c>
      <c r="J293" t="inlineStr">
        <is>
          <t>PV</t>
        </is>
      </c>
      <c r="K293" t="inlineStr">
        <is>
          <t>RANGO 0_3</t>
        </is>
      </c>
      <c r="L293" t="n">
        <v>228</v>
      </c>
      <c r="M293" t="n">
        <v>9</v>
      </c>
      <c r="N293" t="n">
        <v>0</v>
      </c>
      <c r="O293" t="n">
        <v>0</v>
      </c>
      <c r="P293" t="n">
        <v>0</v>
      </c>
      <c r="R293">
        <f>IF(G2009&gt;0,1-H2009/G2009,"")</f>
        <v/>
      </c>
      <c r="S293">
        <f>IF(G2009&gt;0,(G2009/1.18-I2009)/(G2009/1.18),"")</f>
        <v/>
      </c>
      <c r="T293">
        <f>IF(H2009&gt;0,(H2009/1.18-I2009)/(H2009/1.18),"")</f>
        <v/>
      </c>
      <c r="U293" t="inlineStr">
        <is>
          <t>NOOS</t>
        </is>
      </c>
      <c r="V293" t="n">
        <v>921.99</v>
      </c>
      <c r="W293" t="n">
        <v>314.67</v>
      </c>
      <c r="X293" t="n">
        <v>0.3413</v>
      </c>
    </row>
    <row r="294">
      <c r="A294" t="inlineStr">
        <is>
          <t>37465865</t>
        </is>
      </c>
      <c r="B294" t="inlineStr">
        <is>
          <t>PRODUCTO 2E7E67</t>
        </is>
      </c>
      <c r="C294" t="inlineStr">
        <is>
          <t>OSCAR DE LA RENTA</t>
        </is>
      </c>
      <c r="D294" t="inlineStr">
        <is>
          <t>POLOS M/C</t>
        </is>
      </c>
      <c r="E294" t="inlineStr">
        <is>
          <t>MARCAS CASUAL INTERNACIONAL HOMBRE</t>
        </is>
      </c>
      <c r="F294" t="n">
        <v>0</v>
      </c>
      <c r="G294" t="n">
        <v>199.99</v>
      </c>
      <c r="H294" t="n">
        <v>199.99</v>
      </c>
      <c r="I294" t="n">
        <v>67.48</v>
      </c>
      <c r="J294" t="inlineStr">
        <is>
          <t>PV</t>
        </is>
      </c>
      <c r="K294" t="inlineStr">
        <is>
          <t>RANGO 0_3</t>
        </is>
      </c>
      <c r="L294" t="n">
        <v>70</v>
      </c>
      <c r="M294" t="n">
        <v>0</v>
      </c>
      <c r="N294" t="n">
        <v>0</v>
      </c>
      <c r="O294" t="n">
        <v>0</v>
      </c>
      <c r="P294" t="n">
        <v>0</v>
      </c>
      <c r="R294">
        <f>IF(G2010&gt;0,1-H2010/G2010,"")</f>
        <v/>
      </c>
      <c r="S294">
        <f>IF(G2010&gt;0,(G2010/1.18-I2010)/(G2010/1.18),"")</f>
        <v/>
      </c>
      <c r="T294">
        <f>IF(H2010&gt;0,(H2010/1.18-I2010)/(H2010/1.18),"")</f>
        <v/>
      </c>
      <c r="U294" t="inlineStr">
        <is>
          <t>NOOS</t>
        </is>
      </c>
      <c r="V294" t="n">
        <v>0</v>
      </c>
      <c r="W294" t="n">
        <v>0</v>
      </c>
    </row>
    <row r="295">
      <c r="A295" t="inlineStr">
        <is>
          <t>37465880</t>
        </is>
      </c>
      <c r="B295" t="inlineStr">
        <is>
          <t>PRODUCTO E6DE05</t>
        </is>
      </c>
      <c r="C295" t="inlineStr">
        <is>
          <t>OSCAR DE LA RENTA</t>
        </is>
      </c>
      <c r="D295" t="inlineStr">
        <is>
          <t>POLOS M/C</t>
        </is>
      </c>
      <c r="E295" t="inlineStr">
        <is>
          <t>MARCAS CASUAL INTERNACIONAL HOMBRE</t>
        </is>
      </c>
      <c r="F295" t="n">
        <v>0</v>
      </c>
      <c r="G295" t="n">
        <v>199.99</v>
      </c>
      <c r="H295" t="n">
        <v>199.99</v>
      </c>
      <c r="I295" t="n">
        <v>67.48</v>
      </c>
      <c r="J295" t="inlineStr">
        <is>
          <t>PV</t>
        </is>
      </c>
      <c r="K295" t="inlineStr">
        <is>
          <t>RANGO 0_3</t>
        </is>
      </c>
      <c r="L295" t="n">
        <v>70</v>
      </c>
      <c r="M295" t="n">
        <v>1</v>
      </c>
      <c r="N295" t="n">
        <v>0</v>
      </c>
      <c r="O295" t="n">
        <v>0</v>
      </c>
      <c r="P295" t="n">
        <v>0</v>
      </c>
      <c r="R295">
        <f>IF(G2013&gt;0,1-H2013/G2013,"")</f>
        <v/>
      </c>
      <c r="S295">
        <f>IF(G2013&gt;0,(G2013/1.18-I2013)/(G2013/1.18),"")</f>
        <v/>
      </c>
      <c r="T295">
        <f>IF(H2013&gt;0,(H2013/1.18-I2013)/(H2013/1.18),"")</f>
        <v/>
      </c>
      <c r="U295" t="inlineStr">
        <is>
          <t>NOOS</t>
        </is>
      </c>
      <c r="V295" t="n">
        <v>101.69</v>
      </c>
      <c r="W295" t="n">
        <v>34.21</v>
      </c>
      <c r="X295" t="n">
        <v>0.3364</v>
      </c>
    </row>
    <row r="296">
      <c r="A296" t="inlineStr">
        <is>
          <t>37466830</t>
        </is>
      </c>
      <c r="B296" t="inlineStr">
        <is>
          <t>PRODUCTO 81BE72</t>
        </is>
      </c>
      <c r="C296" t="inlineStr">
        <is>
          <t>OSCAR DE LA RENTA</t>
        </is>
      </c>
      <c r="D296" t="inlineStr">
        <is>
          <t>POLOS M/C</t>
        </is>
      </c>
      <c r="E296" t="inlineStr">
        <is>
          <t>MARCAS CASUAL INTERNACIONAL HOMBRE</t>
        </is>
      </c>
      <c r="F296" t="n">
        <v>0</v>
      </c>
      <c r="G296" t="n">
        <v>199.99</v>
      </c>
      <c r="H296" t="n">
        <v>199.99</v>
      </c>
      <c r="I296" t="n">
        <v>67.48</v>
      </c>
      <c r="J296" t="inlineStr">
        <is>
          <t>PV</t>
        </is>
      </c>
      <c r="K296" t="inlineStr">
        <is>
          <t>RANGO 0_3</t>
        </is>
      </c>
      <c r="L296" t="n">
        <v>42</v>
      </c>
      <c r="M296" t="n">
        <v>3</v>
      </c>
      <c r="N296" t="n">
        <v>0</v>
      </c>
      <c r="O296" t="n">
        <v>0</v>
      </c>
      <c r="P296" t="n">
        <v>0</v>
      </c>
      <c r="R296">
        <f>IF(G2023&gt;0,1-H2023/G2023,"")</f>
        <v/>
      </c>
      <c r="S296">
        <f>IF(G2023&gt;0,(G2023/1.18-I2023)/(G2023/1.18),"")</f>
        <v/>
      </c>
      <c r="T296">
        <f>IF(H2023&gt;0,(H2023/1.18-I2023)/(H2023/1.18),"")</f>
        <v/>
      </c>
      <c r="U296" t="inlineStr">
        <is>
          <t>NOOS</t>
        </is>
      </c>
      <c r="V296" t="n">
        <v>305.07</v>
      </c>
      <c r="W296" t="n">
        <v>102.63</v>
      </c>
      <c r="X296" t="n">
        <v>0.3364</v>
      </c>
    </row>
    <row r="297">
      <c r="A297" t="inlineStr">
        <is>
          <t>37550152</t>
        </is>
      </c>
      <c r="B297" t="inlineStr">
        <is>
          <t>PRODUCTO 31F5A9</t>
        </is>
      </c>
      <c r="C297" t="inlineStr">
        <is>
          <t>SELECTED</t>
        </is>
      </c>
      <c r="D297" t="inlineStr">
        <is>
          <t>POLOS M/C</t>
        </is>
      </c>
      <c r="E297" t="inlineStr">
        <is>
          <t>MARCAS CASUAL INTERNACIONAL HOMBRE</t>
        </is>
      </c>
      <c r="F297" t="n">
        <v>1</v>
      </c>
      <c r="G297" t="n">
        <v>119.99</v>
      </c>
      <c r="H297" t="n">
        <v>119.99</v>
      </c>
      <c r="I297" t="n">
        <v>32.44</v>
      </c>
      <c r="J297" t="inlineStr">
        <is>
          <t>PV</t>
        </is>
      </c>
      <c r="K297" t="inlineStr">
        <is>
          <t>RANGO 0_3</t>
        </is>
      </c>
      <c r="L297" t="n">
        <v>57</v>
      </c>
      <c r="M297" t="n">
        <v>0</v>
      </c>
      <c r="N297" t="n">
        <v>0</v>
      </c>
      <c r="O297" t="n">
        <v>0</v>
      </c>
      <c r="P297" t="n">
        <v>0</v>
      </c>
      <c r="R297">
        <f>IF(G2057&gt;0,1-H2057/G2057,"")</f>
        <v/>
      </c>
      <c r="S297">
        <f>IF(G2057&gt;0,(G2057/1.18-I2057)/(G2057/1.18),"")</f>
        <v/>
      </c>
      <c r="T297">
        <f>IF(H2057&gt;0,(H2057/1.18-I2057)/(H2057/1.18),"")</f>
        <v/>
      </c>
      <c r="U297" t="inlineStr">
        <is>
          <t>NOOS</t>
        </is>
      </c>
      <c r="V297" t="n">
        <v>0</v>
      </c>
      <c r="W297" t="n">
        <v>0</v>
      </c>
    </row>
    <row r="298">
      <c r="A298" t="inlineStr">
        <is>
          <t>37567312</t>
        </is>
      </c>
      <c r="B298" t="inlineStr">
        <is>
          <t>PRODUCTO 257A4C</t>
        </is>
      </c>
      <c r="C298" t="inlineStr">
        <is>
          <t>PIERRE CARDIN</t>
        </is>
      </c>
      <c r="D298" t="inlineStr">
        <is>
          <t>CAMISAS M/C</t>
        </is>
      </c>
      <c r="E298" t="inlineStr">
        <is>
          <t>MARCAS CASUAL NACIONAL HOMBRE</t>
        </is>
      </c>
      <c r="F298" t="n">
        <v>2</v>
      </c>
      <c r="G298" t="n">
        <v>229</v>
      </c>
      <c r="H298" t="n">
        <v>183.2</v>
      </c>
      <c r="I298" t="n">
        <v>126.14</v>
      </c>
      <c r="J298" t="inlineStr">
        <is>
          <t>PV</t>
        </is>
      </c>
      <c r="K298" t="inlineStr">
        <is>
          <t>RANGO 0_3</t>
        </is>
      </c>
      <c r="L298" t="n">
        <v>0</v>
      </c>
      <c r="M298" t="n">
        <v>1</v>
      </c>
      <c r="N298" t="n">
        <v>2</v>
      </c>
      <c r="O298" t="n">
        <v>0</v>
      </c>
      <c r="P298" t="n">
        <v>0</v>
      </c>
      <c r="R298">
        <f>IF(G2066&gt;0,1-H2066/G2066,"")</f>
        <v/>
      </c>
      <c r="S298">
        <f>IF(G2066&gt;0,(G2066/1.18-I2066)/(G2066/1.18),"")</f>
        <v/>
      </c>
      <c r="T298">
        <f>IF(H2066&gt;0,(H2066/1.18-I2066)/(H2066/1.18),"")</f>
        <v/>
      </c>
      <c r="U298" t="inlineStr">
        <is>
          <t>NOOS</t>
        </is>
      </c>
      <c r="V298" t="n">
        <v>465.75</v>
      </c>
      <c r="W298" t="n">
        <v>162.99</v>
      </c>
      <c r="X298" t="n">
        <v>0.35</v>
      </c>
    </row>
    <row r="299">
      <c r="A299" t="inlineStr">
        <is>
          <t>37567325</t>
        </is>
      </c>
      <c r="B299" t="inlineStr">
        <is>
          <t>PRODUCTO 2819BA</t>
        </is>
      </c>
      <c r="C299" t="inlineStr">
        <is>
          <t>PIERRE CARDIN</t>
        </is>
      </c>
      <c r="D299" t="inlineStr">
        <is>
          <t>CAMISAS M/C</t>
        </is>
      </c>
      <c r="E299" t="inlineStr">
        <is>
          <t>MARCAS CASUAL NACIONAL HOMBRE</t>
        </is>
      </c>
      <c r="F299" t="n">
        <v>2</v>
      </c>
      <c r="G299" t="n">
        <v>229</v>
      </c>
      <c r="H299" t="n">
        <v>183.2</v>
      </c>
      <c r="I299" t="n">
        <v>126.14</v>
      </c>
      <c r="J299" t="inlineStr">
        <is>
          <t>PV</t>
        </is>
      </c>
      <c r="K299" t="inlineStr">
        <is>
          <t>RANGO 0_3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R299">
        <f>IF(G2067&gt;0,1-H2067/G2067,"")</f>
        <v/>
      </c>
      <c r="S299">
        <f>IF(G2067&gt;0,(G2067/1.18-I2067)/(G2067/1.18),"")</f>
        <v/>
      </c>
      <c r="T299">
        <f>IF(H2067&gt;0,(H2067/1.18-I2067)/(H2067/1.18),"")</f>
        <v/>
      </c>
      <c r="U299" t="inlineStr">
        <is>
          <t>NOOS</t>
        </is>
      </c>
      <c r="V299" t="n">
        <v>0</v>
      </c>
      <c r="W299" t="n">
        <v>0</v>
      </c>
    </row>
    <row r="300">
      <c r="A300" t="inlineStr">
        <is>
          <t>37567346</t>
        </is>
      </c>
      <c r="B300" t="inlineStr">
        <is>
          <t>PRODUCTO 8528B6</t>
        </is>
      </c>
      <c r="C300" t="inlineStr">
        <is>
          <t>PIERRE CARDIN</t>
        </is>
      </c>
      <c r="D300" t="inlineStr">
        <is>
          <t>CAMISAS M/C</t>
        </is>
      </c>
      <c r="E300" t="inlineStr">
        <is>
          <t>MARCAS CASUAL NACIONAL HOMBRE</t>
        </is>
      </c>
      <c r="F300" t="n">
        <v>3</v>
      </c>
      <c r="G300" t="n">
        <v>229</v>
      </c>
      <c r="H300" t="n">
        <v>183.2</v>
      </c>
      <c r="I300" t="n">
        <v>126.14</v>
      </c>
      <c r="J300" t="inlineStr">
        <is>
          <t>PV</t>
        </is>
      </c>
      <c r="K300" t="inlineStr">
        <is>
          <t>RANGO 0_3</t>
        </is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R300">
        <f>IF(G2069&gt;0,1-H2069/G2069,"")</f>
        <v/>
      </c>
      <c r="S300">
        <f>IF(G2069&gt;0,(G2069/1.18-I2069)/(G2069/1.18),"")</f>
        <v/>
      </c>
      <c r="T300">
        <f>IF(H2069&gt;0,(H2069/1.18-I2069)/(H2069/1.18),"")</f>
        <v/>
      </c>
      <c r="U300" t="inlineStr">
        <is>
          <t>NOOS</t>
        </is>
      </c>
      <c r="V300" t="n">
        <v>155.25</v>
      </c>
      <c r="W300" t="n">
        <v>54.33</v>
      </c>
      <c r="X300" t="n">
        <v>0.35</v>
      </c>
    </row>
    <row r="301">
      <c r="A301" t="inlineStr">
        <is>
          <t>37576793</t>
        </is>
      </c>
      <c r="B301" t="inlineStr">
        <is>
          <t>PRODUCTO D067A4</t>
        </is>
      </c>
      <c r="C301" t="inlineStr">
        <is>
          <t>DOCKERS</t>
        </is>
      </c>
      <c r="D301" t="inlineStr">
        <is>
          <t>CAMISAS M/L</t>
        </is>
      </c>
      <c r="E301" t="inlineStr">
        <is>
          <t>MARCAS CASUAL NACIONAL HOMBRE</t>
        </is>
      </c>
      <c r="F301" t="n">
        <v>3</v>
      </c>
      <c r="G301" t="n">
        <v>179.99</v>
      </c>
      <c r="H301" t="n">
        <v>179.99</v>
      </c>
      <c r="I301" t="n">
        <v>91.02</v>
      </c>
      <c r="J301" t="inlineStr">
        <is>
          <t>PV</t>
        </is>
      </c>
      <c r="K301" t="inlineStr">
        <is>
          <t>RANGO 0_3</t>
        </is>
      </c>
      <c r="L301" t="n">
        <v>8</v>
      </c>
      <c r="M301" t="n">
        <v>10</v>
      </c>
      <c r="N301" t="n">
        <v>9</v>
      </c>
      <c r="O301" t="n">
        <v>3</v>
      </c>
      <c r="P301" t="n">
        <v>0</v>
      </c>
      <c r="R301">
        <f>IF(G2078&gt;0,1-H2078/G2078,"")</f>
        <v/>
      </c>
      <c r="S301">
        <f>IF(G2078&gt;0,(G2078/1.18-I2078)/(G2078/1.18),"")</f>
        <v/>
      </c>
      <c r="T301">
        <f>IF(H2078&gt;0,(H2078/1.18-I2078)/(H2078/1.18),"")</f>
        <v/>
      </c>
      <c r="U301" t="inlineStr">
        <is>
          <t>NOOS</t>
        </is>
      </c>
      <c r="V301" t="n">
        <v>3355.59</v>
      </c>
      <c r="W301" t="n">
        <v>1353.15</v>
      </c>
      <c r="X301" t="n">
        <v>0.4033</v>
      </c>
    </row>
    <row r="302">
      <c r="A302" t="inlineStr">
        <is>
          <t>37590066</t>
        </is>
      </c>
      <c r="B302" t="inlineStr">
        <is>
          <t>PRODUCTO 75A7B9</t>
        </is>
      </c>
      <c r="C302" t="inlineStr">
        <is>
          <t>JOHN HOLDEN</t>
        </is>
      </c>
      <c r="D302" t="inlineStr">
        <is>
          <t>POLOS M/C</t>
        </is>
      </c>
      <c r="E302" t="inlineStr">
        <is>
          <t>MARCAS CASUAL NACIONAL HOMBRE</t>
        </is>
      </c>
      <c r="F302" t="n">
        <v>1</v>
      </c>
      <c r="G302" t="n">
        <v>89.98999999999999</v>
      </c>
      <c r="H302" t="n">
        <v>89.98999999999999</v>
      </c>
      <c r="I302" t="n">
        <v>42.33</v>
      </c>
      <c r="J302" t="inlineStr">
        <is>
          <t>TT</t>
        </is>
      </c>
      <c r="K302" t="inlineStr">
        <is>
          <t>RANGO 0_3</t>
        </is>
      </c>
      <c r="L302" t="n">
        <v>35</v>
      </c>
      <c r="M302" t="n">
        <v>40</v>
      </c>
      <c r="N302" t="n">
        <v>0</v>
      </c>
      <c r="O302" t="n">
        <v>0</v>
      </c>
      <c r="P302" t="n">
        <v>0</v>
      </c>
      <c r="R302">
        <f>IF(G2104&gt;0,1-H2104/G2104,"")</f>
        <v/>
      </c>
      <c r="S302">
        <f>IF(G2104&gt;0,(G2104/1.18-I2104)/(G2104/1.18),"")</f>
        <v/>
      </c>
      <c r="T302">
        <f>IF(H2104&gt;0,(H2104/1.18-I2104)/(H2104/1.18),"")</f>
        <v/>
      </c>
      <c r="U302" t="inlineStr">
        <is>
          <t>NOOS</t>
        </is>
      </c>
      <c r="V302" t="n">
        <v>3006.99</v>
      </c>
      <c r="W302" t="n">
        <v>1313.79</v>
      </c>
      <c r="X302" t="n">
        <v>0.4369</v>
      </c>
    </row>
    <row r="303">
      <c r="A303" t="inlineStr">
        <is>
          <t>37619852</t>
        </is>
      </c>
      <c r="B303" t="inlineStr">
        <is>
          <t>PRODUCTO DA102A</t>
        </is>
      </c>
      <c r="C303" t="inlineStr">
        <is>
          <t>DOCKERS</t>
        </is>
      </c>
      <c r="D303" t="inlineStr">
        <is>
          <t>POLOS M/C</t>
        </is>
      </c>
      <c r="E303" t="inlineStr">
        <is>
          <t>MARCAS CASUAL NACIONAL HOMBRE</t>
        </is>
      </c>
      <c r="F303" t="n">
        <v>1</v>
      </c>
      <c r="G303" t="n">
        <v>189.99</v>
      </c>
      <c r="H303" t="n">
        <v>189.99</v>
      </c>
      <c r="I303" t="n">
        <v>96.09999999999999</v>
      </c>
      <c r="J303" t="inlineStr">
        <is>
          <t>PV</t>
        </is>
      </c>
      <c r="K303" t="inlineStr">
        <is>
          <t>RANGO 0_3</t>
        </is>
      </c>
      <c r="L303" t="n">
        <v>24</v>
      </c>
      <c r="M303" t="n">
        <v>4</v>
      </c>
      <c r="N303" t="n">
        <v>0</v>
      </c>
      <c r="O303" t="n">
        <v>0</v>
      </c>
      <c r="P303" t="n">
        <v>0</v>
      </c>
      <c r="R303">
        <f>IF(G2109&gt;0,1-H2109/G2109,"")</f>
        <v/>
      </c>
      <c r="S303">
        <f>IF(G2109&gt;0,(G2109/1.18-I2109)/(G2109/1.18),"")</f>
        <v/>
      </c>
      <c r="T303">
        <f>IF(H2109&gt;0,(H2109/1.18-I2109)/(H2109/1.18),"")</f>
        <v/>
      </c>
      <c r="U303" t="inlineStr">
        <is>
          <t>NOOS</t>
        </is>
      </c>
      <c r="V303" t="n">
        <v>644.04</v>
      </c>
      <c r="W303" t="n">
        <v>259.64</v>
      </c>
      <c r="X303" t="n">
        <v>0.4031</v>
      </c>
    </row>
    <row r="304">
      <c r="A304" t="inlineStr">
        <is>
          <t>37619882</t>
        </is>
      </c>
      <c r="B304" t="inlineStr">
        <is>
          <t>PRODUCTO 0A3B2F</t>
        </is>
      </c>
      <c r="C304" t="inlineStr">
        <is>
          <t>DOCKERS</t>
        </is>
      </c>
      <c r="D304" t="inlineStr">
        <is>
          <t>POLOS M/C</t>
        </is>
      </c>
      <c r="E304" t="inlineStr">
        <is>
          <t>MARCAS CASUAL NACIONAL HOMBRE</t>
        </is>
      </c>
      <c r="F304" t="n">
        <v>1</v>
      </c>
      <c r="G304" t="n">
        <v>99.98999999999999</v>
      </c>
      <c r="H304" t="n">
        <v>99.98999999999999</v>
      </c>
      <c r="I304" t="n">
        <v>50.34</v>
      </c>
      <c r="J304" t="inlineStr">
        <is>
          <t>PV</t>
        </is>
      </c>
      <c r="K304" t="inlineStr">
        <is>
          <t>RANGO 0_3</t>
        </is>
      </c>
      <c r="L304" t="n">
        <v>44</v>
      </c>
      <c r="M304" t="n">
        <v>9</v>
      </c>
      <c r="N304" t="n">
        <v>0</v>
      </c>
      <c r="O304" t="n">
        <v>0</v>
      </c>
      <c r="P304" t="n">
        <v>0</v>
      </c>
      <c r="R304">
        <f>IF(G2115&gt;0,1-H2115/G2115,"")</f>
        <v/>
      </c>
      <c r="S304">
        <f>IF(G2115&gt;0,(G2115/1.18-I2115)/(G2115/1.18),"")</f>
        <v/>
      </c>
      <c r="T304">
        <f>IF(H2115&gt;0,(H2115/1.18-I2115)/(H2115/1.18),"")</f>
        <v/>
      </c>
      <c r="U304" t="inlineStr">
        <is>
          <t>NOOS</t>
        </is>
      </c>
      <c r="V304" t="n">
        <v>762.66</v>
      </c>
      <c r="W304" t="n">
        <v>309.6</v>
      </c>
      <c r="X304" t="n">
        <v>0.4059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HISTORIAL LY — Llenar con script transformar_ripley.py o dejar vacía</t>
        </is>
      </c>
    </row>
    <row r="2">
      <c r="A2" s="4" t="inlineStr">
        <is>
          <t>SKU
Código Producto</t>
        </is>
      </c>
      <c r="B2" s="4" t="inlineStr">
        <is>
          <t>Tienda /
Canal</t>
        </is>
      </c>
      <c r="C2" s="4" t="inlineStr">
        <is>
          <t>Semana
(nro 1-52)</t>
        </is>
      </c>
      <c r="D2" s="4" t="inlineStr">
        <is>
          <t>Fecha
Lunes</t>
        </is>
      </c>
      <c r="E2" s="4" t="inlineStr">
        <is>
          <t>Vta Uds
LY</t>
        </is>
      </c>
      <c r="F2" s="4" t="inlineStr">
        <is>
          <t>Vta Soles
LY (S/)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99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VENTAS RECIENTES — Últimas 4 semanas por SKU × Tienda</t>
        </is>
      </c>
    </row>
    <row r="2">
      <c r="A2" s="4" t="inlineStr">
        <is>
          <t>SKU
Código Producto</t>
        </is>
      </c>
      <c r="B2" s="4" t="inlineStr">
        <is>
          <t>Nombre
Producto</t>
        </is>
      </c>
      <c r="C2" s="4" t="inlineStr">
        <is>
          <t>Tienda /
Canal</t>
        </is>
      </c>
      <c r="D2" s="4" t="inlineStr">
        <is>
          <t>Vta Uds
Sem 1</t>
        </is>
      </c>
      <c r="E2" s="4" t="inlineStr">
        <is>
          <t>Vta Uds
Sem 2</t>
        </is>
      </c>
      <c r="F2" s="4" t="inlineStr">
        <is>
          <t>Vta Uds
Sem 3</t>
        </is>
      </c>
      <c r="G2" s="4" t="inlineStr">
        <is>
          <t>Vta Uds
Sem 4</t>
        </is>
      </c>
      <c r="H2" s="5" t="inlineStr">
        <is>
          <t>Prom. Vta
Uds/Semana</t>
        </is>
      </c>
    </row>
    <row r="3">
      <c r="A3" t="inlineStr">
        <is>
          <t>17990444</t>
        </is>
      </c>
      <c r="B3" t="inlineStr">
        <is>
          <t>PRODUCTO 86683A</t>
        </is>
      </c>
      <c r="C3" t="inlineStr">
        <is>
          <t>Jockey Plaza</t>
        </is>
      </c>
      <c r="D3" t="n">
        <v>3</v>
      </c>
      <c r="E3" t="n">
        <v>2</v>
      </c>
      <c r="F3" t="n">
        <v>1</v>
      </c>
      <c r="G3" t="n">
        <v>1</v>
      </c>
      <c r="H3">
        <f>AVERAGE(D34:G34)</f>
        <v/>
      </c>
    </row>
    <row r="4">
      <c r="A4" t="inlineStr">
        <is>
          <t>17990444</t>
        </is>
      </c>
      <c r="B4" t="inlineStr">
        <is>
          <t>PRODUCTO 86683A</t>
        </is>
      </c>
      <c r="C4" t="inlineStr">
        <is>
          <t>San Miguel</t>
        </is>
      </c>
      <c r="D4" t="n">
        <v>1</v>
      </c>
      <c r="E4" t="n">
        <v>1</v>
      </c>
      <c r="F4" t="n">
        <v>0</v>
      </c>
      <c r="G4" t="n">
        <v>0</v>
      </c>
      <c r="H4">
        <f>AVERAGE(D35:G35)</f>
        <v/>
      </c>
    </row>
    <row r="5">
      <c r="A5" t="inlineStr">
        <is>
          <t>17990444</t>
        </is>
      </c>
      <c r="B5" t="inlineStr">
        <is>
          <t>PRODUCTO 86683A</t>
        </is>
      </c>
      <c r="C5" t="inlineStr">
        <is>
          <t>Miraflores</t>
        </is>
      </c>
      <c r="D5" t="n">
        <v>5</v>
      </c>
      <c r="E5" t="n">
        <v>4</v>
      </c>
      <c r="F5" t="n">
        <v>2</v>
      </c>
      <c r="G5" t="n">
        <v>2</v>
      </c>
      <c r="H5">
        <f>AVERAGE(D36:G36)</f>
        <v/>
      </c>
    </row>
    <row r="6">
      <c r="A6" t="inlineStr">
        <is>
          <t>17990444</t>
        </is>
      </c>
      <c r="B6" t="inlineStr">
        <is>
          <t>PRODUCTO 86683A</t>
        </is>
      </c>
      <c r="C6" t="inlineStr">
        <is>
          <t>Salaverry</t>
        </is>
      </c>
      <c r="D6" t="n">
        <v>1</v>
      </c>
      <c r="E6" t="n">
        <v>1</v>
      </c>
      <c r="F6" t="n">
        <v>0</v>
      </c>
      <c r="G6" t="n">
        <v>0</v>
      </c>
      <c r="H6">
        <f>AVERAGE(D45:G45)</f>
        <v/>
      </c>
    </row>
    <row r="7">
      <c r="A7" t="inlineStr">
        <is>
          <t>17990444</t>
        </is>
      </c>
      <c r="B7" t="inlineStr">
        <is>
          <t>PRODUCTO 86683A</t>
        </is>
      </c>
      <c r="C7" t="inlineStr">
        <is>
          <t>San Borja</t>
        </is>
      </c>
      <c r="D7" t="n">
        <v>0</v>
      </c>
      <c r="E7" t="n">
        <v>0</v>
      </c>
      <c r="F7" t="n">
        <v>0</v>
      </c>
      <c r="G7" t="n">
        <v>0</v>
      </c>
      <c r="H7">
        <f>AVERAGE(D46:G46)</f>
        <v/>
      </c>
    </row>
    <row r="8">
      <c r="A8" t="inlineStr">
        <is>
          <t>17990444</t>
        </is>
      </c>
      <c r="B8" t="inlineStr">
        <is>
          <t>PRODUCTO 86683A</t>
        </is>
      </c>
      <c r="C8" t="inlineStr">
        <is>
          <t>Piura</t>
        </is>
      </c>
      <c r="D8" t="n">
        <v>0</v>
      </c>
      <c r="E8" t="n">
        <v>0</v>
      </c>
      <c r="F8" t="n">
        <v>0</v>
      </c>
      <c r="G8" t="n">
        <v>0</v>
      </c>
      <c r="H8">
        <f>AVERAGE(D54:G54)</f>
        <v/>
      </c>
    </row>
    <row r="9">
      <c r="A9" t="inlineStr">
        <is>
          <t>35130381</t>
        </is>
      </c>
      <c r="B9" t="inlineStr">
        <is>
          <t>PRODUCTO CA5191</t>
        </is>
      </c>
      <c r="C9" t="inlineStr">
        <is>
          <t>Miraflores</t>
        </is>
      </c>
      <c r="D9" t="n">
        <v>0</v>
      </c>
      <c r="E9" t="n">
        <v>0</v>
      </c>
      <c r="F9" t="n">
        <v>0</v>
      </c>
      <c r="G9" t="n">
        <v>0</v>
      </c>
      <c r="H9">
        <f>AVERAGE(D462:G462)</f>
        <v/>
      </c>
    </row>
    <row r="10">
      <c r="A10" t="inlineStr">
        <is>
          <t>35822208</t>
        </is>
      </c>
      <c r="B10" t="inlineStr">
        <is>
          <t>PRODUCTO F531D6</t>
        </is>
      </c>
      <c r="C10" t="inlineStr">
        <is>
          <t>Jockey Plaza</t>
        </is>
      </c>
      <c r="D10" t="n">
        <v>0</v>
      </c>
      <c r="E10" t="n">
        <v>0</v>
      </c>
      <c r="F10" t="n">
        <v>0</v>
      </c>
      <c r="G10" t="n">
        <v>0</v>
      </c>
      <c r="H10">
        <f>AVERAGE(D520:G520)</f>
        <v/>
      </c>
    </row>
    <row r="11">
      <c r="A11" t="inlineStr">
        <is>
          <t>35822208</t>
        </is>
      </c>
      <c r="B11" t="inlineStr">
        <is>
          <t>PRODUCTO F531D6</t>
        </is>
      </c>
      <c r="C11" t="inlineStr">
        <is>
          <t>San Miguel</t>
        </is>
      </c>
      <c r="D11" t="n">
        <v>0</v>
      </c>
      <c r="E11" t="n">
        <v>0</v>
      </c>
      <c r="F11" t="n">
        <v>0</v>
      </c>
      <c r="G11" t="n">
        <v>0</v>
      </c>
      <c r="H11">
        <f>AVERAGE(D521:G521)</f>
        <v/>
      </c>
    </row>
    <row r="12">
      <c r="A12" t="inlineStr">
        <is>
          <t>35822208</t>
        </is>
      </c>
      <c r="B12" t="inlineStr">
        <is>
          <t>PRODUCTO F531D6</t>
        </is>
      </c>
      <c r="C12" t="inlineStr">
        <is>
          <t>Miraflores</t>
        </is>
      </c>
      <c r="D12" t="n">
        <v>0</v>
      </c>
      <c r="E12" t="n">
        <v>0</v>
      </c>
      <c r="F12" t="n">
        <v>0</v>
      </c>
      <c r="G12" t="n">
        <v>0</v>
      </c>
      <c r="H12">
        <f>AVERAGE(D522:G522)</f>
        <v/>
      </c>
    </row>
    <row r="13">
      <c r="A13" t="inlineStr">
        <is>
          <t>35822213</t>
        </is>
      </c>
      <c r="B13" t="inlineStr">
        <is>
          <t>PRODUCTO 6F25B5</t>
        </is>
      </c>
      <c r="C13" t="inlineStr">
        <is>
          <t>Jockey Plaza</t>
        </is>
      </c>
      <c r="D13" t="n">
        <v>0</v>
      </c>
      <c r="E13" t="n">
        <v>0</v>
      </c>
      <c r="F13" t="n">
        <v>0</v>
      </c>
      <c r="G13" t="n">
        <v>0</v>
      </c>
      <c r="H13">
        <f>AVERAGE(D526:G526)</f>
        <v/>
      </c>
    </row>
    <row r="14">
      <c r="A14" t="inlineStr">
        <is>
          <t>36162566</t>
        </is>
      </c>
      <c r="B14" t="inlineStr">
        <is>
          <t>PRODUCTO 526667</t>
        </is>
      </c>
      <c r="C14" t="inlineStr">
        <is>
          <t>Jockey Plaza</t>
        </is>
      </c>
      <c r="D14" t="n">
        <v>0</v>
      </c>
      <c r="E14" t="n">
        <v>0</v>
      </c>
      <c r="F14" t="n">
        <v>0</v>
      </c>
      <c r="G14" t="n">
        <v>0</v>
      </c>
      <c r="H14">
        <f>AVERAGE(D715:G715)</f>
        <v/>
      </c>
    </row>
    <row r="15">
      <c r="A15" t="inlineStr">
        <is>
          <t>36162566</t>
        </is>
      </c>
      <c r="B15" t="inlineStr">
        <is>
          <t>PRODUCTO 526667</t>
        </is>
      </c>
      <c r="C15" t="inlineStr">
        <is>
          <t>Miraflores</t>
        </is>
      </c>
      <c r="D15" t="n">
        <v>0</v>
      </c>
      <c r="E15" t="n">
        <v>0</v>
      </c>
      <c r="F15" t="n">
        <v>0</v>
      </c>
      <c r="G15" t="n">
        <v>0</v>
      </c>
      <c r="H15">
        <f>AVERAGE(D716:G716)</f>
        <v/>
      </c>
    </row>
    <row r="16">
      <c r="A16" t="inlineStr">
        <is>
          <t>36162566</t>
        </is>
      </c>
      <c r="B16" t="inlineStr">
        <is>
          <t>PRODUCTO 526667</t>
        </is>
      </c>
      <c r="C16" t="inlineStr">
        <is>
          <t>Salaverry</t>
        </is>
      </c>
      <c r="D16" t="n">
        <v>0</v>
      </c>
      <c r="E16" t="n">
        <v>0</v>
      </c>
      <c r="F16" t="n">
        <v>0</v>
      </c>
      <c r="G16" t="n">
        <v>0</v>
      </c>
      <c r="H16">
        <f>AVERAGE(D722:G722)</f>
        <v/>
      </c>
    </row>
    <row r="17">
      <c r="A17" t="inlineStr">
        <is>
          <t>36162566</t>
        </is>
      </c>
      <c r="B17" t="inlineStr">
        <is>
          <t>PRODUCTO 526667</t>
        </is>
      </c>
      <c r="C17" t="inlineStr">
        <is>
          <t>San Borja</t>
        </is>
      </c>
      <c r="D17" t="n">
        <v>0</v>
      </c>
      <c r="E17" t="n">
        <v>0</v>
      </c>
      <c r="F17" t="n">
        <v>0</v>
      </c>
      <c r="G17" t="n">
        <v>0</v>
      </c>
      <c r="H17">
        <f>AVERAGE(D723:G723)</f>
        <v/>
      </c>
    </row>
    <row r="18">
      <c r="A18" t="inlineStr">
        <is>
          <t>36190703</t>
        </is>
      </c>
      <c r="B18" t="inlineStr">
        <is>
          <t>PRODUCTO 36D3D6</t>
        </is>
      </c>
      <c r="C18" t="inlineStr">
        <is>
          <t>Jockey Plaza</t>
        </is>
      </c>
      <c r="D18" t="n">
        <v>0</v>
      </c>
      <c r="E18" t="n">
        <v>0</v>
      </c>
      <c r="F18" t="n">
        <v>0</v>
      </c>
      <c r="G18" t="n">
        <v>0</v>
      </c>
      <c r="H18">
        <f>AVERAGE(D847:G847)</f>
        <v/>
      </c>
    </row>
    <row r="19">
      <c r="A19" t="inlineStr">
        <is>
          <t>36190703</t>
        </is>
      </c>
      <c r="B19" t="inlineStr">
        <is>
          <t>PRODUCTO 36D3D6</t>
        </is>
      </c>
      <c r="C19" t="inlineStr">
        <is>
          <t>San Miguel</t>
        </is>
      </c>
      <c r="D19" t="n">
        <v>0</v>
      </c>
      <c r="E19" t="n">
        <v>0</v>
      </c>
      <c r="F19" t="n">
        <v>0</v>
      </c>
      <c r="G19" t="n">
        <v>0</v>
      </c>
      <c r="H19">
        <f>AVERAGE(D848:G848)</f>
        <v/>
      </c>
    </row>
    <row r="20">
      <c r="A20" t="inlineStr">
        <is>
          <t>36190703</t>
        </is>
      </c>
      <c r="B20" t="inlineStr">
        <is>
          <t>PRODUCTO 36D3D6</t>
        </is>
      </c>
      <c r="C20" t="inlineStr">
        <is>
          <t>Miraflores</t>
        </is>
      </c>
      <c r="D20" t="n">
        <v>0</v>
      </c>
      <c r="E20" t="n">
        <v>0</v>
      </c>
      <c r="F20" t="n">
        <v>0</v>
      </c>
      <c r="G20" t="n">
        <v>0</v>
      </c>
      <c r="H20">
        <f>AVERAGE(D849:G849)</f>
        <v/>
      </c>
    </row>
    <row r="21">
      <c r="A21" t="inlineStr">
        <is>
          <t>36190703</t>
        </is>
      </c>
      <c r="B21" t="inlineStr">
        <is>
          <t>PRODUCTO 36D3D6</t>
        </is>
      </c>
      <c r="C21" t="inlineStr">
        <is>
          <t>Salaverry</t>
        </is>
      </c>
      <c r="D21" t="n">
        <v>0</v>
      </c>
      <c r="E21" t="n">
        <v>0</v>
      </c>
      <c r="F21" t="n">
        <v>0</v>
      </c>
      <c r="G21" t="n">
        <v>0</v>
      </c>
      <c r="H21">
        <f>AVERAGE(D851:G851)</f>
        <v/>
      </c>
    </row>
    <row r="22">
      <c r="A22" t="inlineStr">
        <is>
          <t>36195514</t>
        </is>
      </c>
      <c r="B22" t="inlineStr">
        <is>
          <t>PRODUCTO 331399</t>
        </is>
      </c>
      <c r="C22" t="inlineStr">
        <is>
          <t>Jockey Plaza</t>
        </is>
      </c>
      <c r="D22" t="n">
        <v>-1</v>
      </c>
      <c r="E22" t="n">
        <v>-1</v>
      </c>
      <c r="F22" t="n">
        <v>-1</v>
      </c>
      <c r="G22" t="n">
        <v>-2</v>
      </c>
      <c r="H22">
        <f>AVERAGE(D910:G910)</f>
        <v/>
      </c>
    </row>
    <row r="23">
      <c r="A23" t="inlineStr">
        <is>
          <t>36195514</t>
        </is>
      </c>
      <c r="B23" t="inlineStr">
        <is>
          <t>PRODUCTO 331399</t>
        </is>
      </c>
      <c r="C23" t="inlineStr">
        <is>
          <t>Salaverry</t>
        </is>
      </c>
      <c r="D23" t="n">
        <v>0</v>
      </c>
      <c r="E23" t="n">
        <v>0</v>
      </c>
      <c r="F23" t="n">
        <v>0</v>
      </c>
      <c r="G23" t="n">
        <v>0</v>
      </c>
      <c r="H23">
        <f>AVERAGE(D914:G914)</f>
        <v/>
      </c>
    </row>
    <row r="24">
      <c r="A24" t="inlineStr">
        <is>
          <t>36195514</t>
        </is>
      </c>
      <c r="B24" t="inlineStr">
        <is>
          <t>PRODUCTO 331399</t>
        </is>
      </c>
      <c r="C24" t="inlineStr">
        <is>
          <t>Piura</t>
        </is>
      </c>
      <c r="D24" t="n">
        <v>1</v>
      </c>
      <c r="E24" t="n">
        <v>1</v>
      </c>
      <c r="F24" t="n">
        <v>1</v>
      </c>
      <c r="G24" t="n">
        <v>2</v>
      </c>
      <c r="H24">
        <f>AVERAGE(D919:G919)</f>
        <v/>
      </c>
    </row>
    <row r="25">
      <c r="A25" t="inlineStr">
        <is>
          <t>36244264</t>
        </is>
      </c>
      <c r="B25" t="inlineStr">
        <is>
          <t>PRODUCTO EF35DB</t>
        </is>
      </c>
      <c r="C25" t="inlineStr">
        <is>
          <t>Salaverry</t>
        </is>
      </c>
      <c r="D25" t="n">
        <v>0</v>
      </c>
      <c r="E25" t="n">
        <v>0</v>
      </c>
      <c r="F25" t="n">
        <v>0</v>
      </c>
      <c r="G25" t="n">
        <v>0</v>
      </c>
      <c r="H25">
        <f>AVERAGE(D1021:G1021)</f>
        <v/>
      </c>
    </row>
    <row r="26">
      <c r="A26" t="inlineStr">
        <is>
          <t>36244264</t>
        </is>
      </c>
      <c r="B26" t="inlineStr">
        <is>
          <t>PRODUCTO EF35DB</t>
        </is>
      </c>
      <c r="C26" t="inlineStr">
        <is>
          <t>Piura</t>
        </is>
      </c>
      <c r="D26" t="n">
        <v>1</v>
      </c>
      <c r="E26" t="n">
        <v>1</v>
      </c>
      <c r="F26" t="n">
        <v>2</v>
      </c>
      <c r="G26" t="n">
        <v>1</v>
      </c>
      <c r="H26">
        <f>AVERAGE(D1024:G1024)</f>
        <v/>
      </c>
    </row>
    <row r="27">
      <c r="A27" t="inlineStr">
        <is>
          <t>36574973</t>
        </is>
      </c>
      <c r="B27" t="inlineStr">
        <is>
          <t>PRODUCTO D48C08</t>
        </is>
      </c>
      <c r="C27" t="inlineStr">
        <is>
          <t>Jockey Plaza</t>
        </is>
      </c>
      <c r="D27" t="n">
        <v>0</v>
      </c>
      <c r="E27" t="n">
        <v>0</v>
      </c>
      <c r="F27" t="n">
        <v>0</v>
      </c>
      <c r="G27" t="n">
        <v>0</v>
      </c>
      <c r="H27">
        <f>AVERAGE(D1286:G1286)</f>
        <v/>
      </c>
    </row>
    <row r="28">
      <c r="A28" t="inlineStr">
        <is>
          <t>36574973</t>
        </is>
      </c>
      <c r="B28" t="inlineStr">
        <is>
          <t>PRODUCTO D48C08</t>
        </is>
      </c>
      <c r="C28" t="inlineStr">
        <is>
          <t>San Miguel</t>
        </is>
      </c>
      <c r="D28" t="n">
        <v>6</v>
      </c>
      <c r="E28" t="n">
        <v>6</v>
      </c>
      <c r="F28" t="n">
        <v>7</v>
      </c>
      <c r="G28" t="n">
        <v>6</v>
      </c>
      <c r="H28">
        <f>AVERAGE(D1287:G1287)</f>
        <v/>
      </c>
    </row>
    <row r="29">
      <c r="A29" t="inlineStr">
        <is>
          <t>36574973</t>
        </is>
      </c>
      <c r="B29" t="inlineStr">
        <is>
          <t>PRODUCTO D48C08</t>
        </is>
      </c>
      <c r="C29" t="inlineStr">
        <is>
          <t>Miraflores</t>
        </is>
      </c>
      <c r="D29" t="n">
        <v>0</v>
      </c>
      <c r="E29" t="n">
        <v>0</v>
      </c>
      <c r="F29" t="n">
        <v>0</v>
      </c>
      <c r="G29" t="n">
        <v>0</v>
      </c>
      <c r="H29">
        <f>AVERAGE(D1288:G1288)</f>
        <v/>
      </c>
    </row>
    <row r="30">
      <c r="A30" t="inlineStr">
        <is>
          <t>36574973</t>
        </is>
      </c>
      <c r="B30" t="inlineStr">
        <is>
          <t>PRODUCTO D48C08</t>
        </is>
      </c>
      <c r="C30" t="inlineStr">
        <is>
          <t>San Borja</t>
        </is>
      </c>
      <c r="D30" t="n">
        <v>4</v>
      </c>
      <c r="E30" t="n">
        <v>4</v>
      </c>
      <c r="F30" t="n">
        <v>4</v>
      </c>
      <c r="G30" t="n">
        <v>4</v>
      </c>
      <c r="H30">
        <f>AVERAGE(D1297:G1297)</f>
        <v/>
      </c>
    </row>
    <row r="31">
      <c r="A31" t="inlineStr">
        <is>
          <t>36574973</t>
        </is>
      </c>
      <c r="B31" t="inlineStr">
        <is>
          <t>PRODUCTO D48C08</t>
        </is>
      </c>
      <c r="C31" t="inlineStr">
        <is>
          <t>Piura</t>
        </is>
      </c>
      <c r="D31" t="n">
        <v>1</v>
      </c>
      <c r="E31" t="n">
        <v>1</v>
      </c>
      <c r="F31" t="n">
        <v>1</v>
      </c>
      <c r="G31" t="n">
        <v>1</v>
      </c>
      <c r="H31">
        <f>AVERAGE(D1305:G1305)</f>
        <v/>
      </c>
    </row>
    <row r="32">
      <c r="A32" t="inlineStr">
        <is>
          <t>36628846</t>
        </is>
      </c>
      <c r="B32" t="inlineStr">
        <is>
          <t>PRODUCTO 6516CA</t>
        </is>
      </c>
      <c r="C32" t="inlineStr">
        <is>
          <t>Jockey Plaza</t>
        </is>
      </c>
      <c r="D32" t="n">
        <v>3</v>
      </c>
      <c r="E32" t="n">
        <v>3</v>
      </c>
      <c r="F32" t="n">
        <v>3</v>
      </c>
      <c r="G32" t="n">
        <v>4</v>
      </c>
      <c r="H32">
        <f>AVERAGE(D1422:G1422)</f>
        <v/>
      </c>
    </row>
    <row r="33">
      <c r="A33" t="inlineStr">
        <is>
          <t>36628846</t>
        </is>
      </c>
      <c r="B33" t="inlineStr">
        <is>
          <t>PRODUCTO 6516CA</t>
        </is>
      </c>
      <c r="C33" t="inlineStr">
        <is>
          <t>San Miguel</t>
        </is>
      </c>
      <c r="D33" t="n">
        <v>0</v>
      </c>
      <c r="E33" t="n">
        <v>0</v>
      </c>
      <c r="F33" t="n">
        <v>0</v>
      </c>
      <c r="G33" t="n">
        <v>0</v>
      </c>
      <c r="H33">
        <f>AVERAGE(D1423:G1423)</f>
        <v/>
      </c>
    </row>
    <row r="34">
      <c r="A34" t="inlineStr">
        <is>
          <t>36628846</t>
        </is>
      </c>
      <c r="B34" t="inlineStr">
        <is>
          <t>PRODUCTO 6516CA</t>
        </is>
      </c>
      <c r="C34" t="inlineStr">
        <is>
          <t>Miraflores</t>
        </is>
      </c>
      <c r="D34" t="n">
        <v>0</v>
      </c>
      <c r="E34" t="n">
        <v>0</v>
      </c>
      <c r="F34" t="n">
        <v>0</v>
      </c>
      <c r="G34" t="n">
        <v>0</v>
      </c>
      <c r="H34">
        <f>AVERAGE(D1424:G1424)</f>
        <v/>
      </c>
    </row>
    <row r="35">
      <c r="A35" t="inlineStr">
        <is>
          <t>36628846</t>
        </is>
      </c>
      <c r="B35" t="inlineStr">
        <is>
          <t>PRODUCTO 6516CA</t>
        </is>
      </c>
      <c r="C35" t="inlineStr">
        <is>
          <t>Salaverry</t>
        </is>
      </c>
      <c r="D35" t="n">
        <v>0</v>
      </c>
      <c r="E35" t="n">
        <v>0</v>
      </c>
      <c r="F35" t="n">
        <v>0</v>
      </c>
      <c r="G35" t="n">
        <v>0</v>
      </c>
      <c r="H35">
        <f>AVERAGE(D1433:G1433)</f>
        <v/>
      </c>
    </row>
    <row r="36">
      <c r="A36" t="inlineStr">
        <is>
          <t>36628846</t>
        </is>
      </c>
      <c r="B36" t="inlineStr">
        <is>
          <t>PRODUCTO 6516CA</t>
        </is>
      </c>
      <c r="C36" t="inlineStr">
        <is>
          <t>San Borja</t>
        </is>
      </c>
      <c r="D36" t="n">
        <v>3</v>
      </c>
      <c r="E36" t="n">
        <v>3</v>
      </c>
      <c r="F36" t="n">
        <v>3</v>
      </c>
      <c r="G36" t="n">
        <v>4</v>
      </c>
      <c r="H36">
        <f>AVERAGE(D1434:G1434)</f>
        <v/>
      </c>
    </row>
    <row r="37">
      <c r="A37" t="inlineStr">
        <is>
          <t>36628846</t>
        </is>
      </c>
      <c r="B37" t="inlineStr">
        <is>
          <t>PRODUCTO 6516CA</t>
        </is>
      </c>
      <c r="C37" t="inlineStr">
        <is>
          <t>Piura</t>
        </is>
      </c>
      <c r="D37" t="n">
        <v>0</v>
      </c>
      <c r="E37" t="n">
        <v>0</v>
      </c>
      <c r="F37" t="n">
        <v>0</v>
      </c>
      <c r="G37" t="n">
        <v>0</v>
      </c>
      <c r="H37">
        <f>AVERAGE(D1441:G1441)</f>
        <v/>
      </c>
    </row>
    <row r="38">
      <c r="A38" t="inlineStr">
        <is>
          <t>36649794</t>
        </is>
      </c>
      <c r="B38" t="inlineStr">
        <is>
          <t>PRODUCTO E8D13F</t>
        </is>
      </c>
      <c r="C38" t="inlineStr">
        <is>
          <t>Jockey Plaza</t>
        </is>
      </c>
      <c r="D38" t="n">
        <v>3</v>
      </c>
      <c r="E38" t="n">
        <v>3</v>
      </c>
      <c r="F38" t="n">
        <v>3</v>
      </c>
      <c r="G38" t="n">
        <v>3</v>
      </c>
      <c r="H38">
        <f>AVERAGE(D1608:G1608)</f>
        <v/>
      </c>
    </row>
    <row r="39">
      <c r="A39" t="inlineStr">
        <is>
          <t>36649794</t>
        </is>
      </c>
      <c r="B39" t="inlineStr">
        <is>
          <t>PRODUCTO E8D13F</t>
        </is>
      </c>
      <c r="C39" t="inlineStr">
        <is>
          <t>San Miguel</t>
        </is>
      </c>
      <c r="D39" t="n">
        <v>0</v>
      </c>
      <c r="E39" t="n">
        <v>0</v>
      </c>
      <c r="F39" t="n">
        <v>0</v>
      </c>
      <c r="G39" t="n">
        <v>0</v>
      </c>
      <c r="H39">
        <f>AVERAGE(D1609:G1609)</f>
        <v/>
      </c>
    </row>
    <row r="40">
      <c r="A40" t="inlineStr">
        <is>
          <t>36649794</t>
        </is>
      </c>
      <c r="B40" t="inlineStr">
        <is>
          <t>PRODUCTO E8D13F</t>
        </is>
      </c>
      <c r="C40" t="inlineStr">
        <is>
          <t>Miraflores</t>
        </is>
      </c>
      <c r="D40" t="n">
        <v>0</v>
      </c>
      <c r="E40" t="n">
        <v>0</v>
      </c>
      <c r="F40" t="n">
        <v>0</v>
      </c>
      <c r="G40" t="n">
        <v>0</v>
      </c>
      <c r="H40">
        <f>AVERAGE(D1610:G1610)</f>
        <v/>
      </c>
    </row>
    <row r="41">
      <c r="A41" t="inlineStr">
        <is>
          <t>36649794</t>
        </is>
      </c>
      <c r="B41" t="inlineStr">
        <is>
          <t>PRODUCTO E8D13F</t>
        </is>
      </c>
      <c r="C41" t="inlineStr">
        <is>
          <t>Salaverry</t>
        </is>
      </c>
      <c r="D41" t="n">
        <v>1</v>
      </c>
      <c r="E41" t="n">
        <v>1</v>
      </c>
      <c r="F41" t="n">
        <v>1</v>
      </c>
      <c r="G41" t="n">
        <v>1</v>
      </c>
      <c r="H41">
        <f>AVERAGE(D1619:G1619)</f>
        <v/>
      </c>
    </row>
    <row r="42">
      <c r="A42" t="inlineStr">
        <is>
          <t>36649794</t>
        </is>
      </c>
      <c r="B42" t="inlineStr">
        <is>
          <t>PRODUCTO E8D13F</t>
        </is>
      </c>
      <c r="C42" t="inlineStr">
        <is>
          <t>San Borja</t>
        </is>
      </c>
      <c r="D42" t="n">
        <v>-1</v>
      </c>
      <c r="E42" t="n">
        <v>-1</v>
      </c>
      <c r="F42" t="n">
        <v>-1</v>
      </c>
      <c r="G42" t="n">
        <v>-1</v>
      </c>
      <c r="H42">
        <f>AVERAGE(D1620:G1620)</f>
        <v/>
      </c>
    </row>
    <row r="43">
      <c r="A43" t="inlineStr">
        <is>
          <t>36649794</t>
        </is>
      </c>
      <c r="B43" t="inlineStr">
        <is>
          <t>PRODUCTO E8D13F</t>
        </is>
      </c>
      <c r="C43" t="inlineStr">
        <is>
          <t>Piura</t>
        </is>
      </c>
      <c r="D43" t="n">
        <v>1</v>
      </c>
      <c r="E43" t="n">
        <v>1</v>
      </c>
      <c r="F43" t="n">
        <v>1</v>
      </c>
      <c r="G43" t="n">
        <v>1</v>
      </c>
      <c r="H43">
        <f>AVERAGE(D1628:G1628)</f>
        <v/>
      </c>
    </row>
    <row r="44">
      <c r="A44" t="inlineStr">
        <is>
          <t>36863338</t>
        </is>
      </c>
      <c r="B44" t="inlineStr">
        <is>
          <t>PRODUCTO 01E690</t>
        </is>
      </c>
      <c r="C44" t="inlineStr">
        <is>
          <t>Jockey Plaza</t>
        </is>
      </c>
      <c r="D44" t="n">
        <v>2</v>
      </c>
      <c r="E44" t="n">
        <v>1</v>
      </c>
      <c r="F44" t="n">
        <v>1</v>
      </c>
      <c r="G44" t="n">
        <v>1</v>
      </c>
      <c r="H44">
        <f>AVERAGE(D1864:G1864)</f>
        <v/>
      </c>
    </row>
    <row r="45">
      <c r="A45" t="inlineStr">
        <is>
          <t>36863338</t>
        </is>
      </c>
      <c r="B45" t="inlineStr">
        <is>
          <t>PRODUCTO 01E690</t>
        </is>
      </c>
      <c r="C45" t="inlineStr">
        <is>
          <t>San Miguel</t>
        </is>
      </c>
      <c r="D45" t="n">
        <v>3</v>
      </c>
      <c r="E45" t="n">
        <v>2</v>
      </c>
      <c r="F45" t="n">
        <v>2</v>
      </c>
      <c r="G45" t="n">
        <v>1</v>
      </c>
      <c r="H45">
        <f>AVERAGE(D1865:G1865)</f>
        <v/>
      </c>
    </row>
    <row r="46">
      <c r="A46" t="inlineStr">
        <is>
          <t>36863338</t>
        </is>
      </c>
      <c r="B46" t="inlineStr">
        <is>
          <t>PRODUCTO 01E690</t>
        </is>
      </c>
      <c r="C46" t="inlineStr">
        <is>
          <t>Miraflores</t>
        </is>
      </c>
      <c r="D46" t="n">
        <v>1</v>
      </c>
      <c r="E46" t="n">
        <v>1</v>
      </c>
      <c r="F46" t="n">
        <v>1</v>
      </c>
      <c r="G46" t="n">
        <v>0</v>
      </c>
      <c r="H46">
        <f>AVERAGE(D1866:G1866)</f>
        <v/>
      </c>
    </row>
    <row r="47">
      <c r="A47" t="inlineStr">
        <is>
          <t>36863338</t>
        </is>
      </c>
      <c r="B47" t="inlineStr">
        <is>
          <t>PRODUCTO 01E690</t>
        </is>
      </c>
      <c r="C47" t="inlineStr">
        <is>
          <t>Salaverry</t>
        </is>
      </c>
      <c r="D47" t="n">
        <v>0</v>
      </c>
      <c r="E47" t="n">
        <v>0</v>
      </c>
      <c r="F47" t="n">
        <v>0</v>
      </c>
      <c r="G47" t="n">
        <v>0</v>
      </c>
      <c r="H47">
        <f>AVERAGE(D1875:G1875)</f>
        <v/>
      </c>
    </row>
    <row r="48">
      <c r="A48" t="inlineStr">
        <is>
          <t>36863338</t>
        </is>
      </c>
      <c r="B48" t="inlineStr">
        <is>
          <t>PRODUCTO 01E690</t>
        </is>
      </c>
      <c r="C48" t="inlineStr">
        <is>
          <t>San Borja</t>
        </is>
      </c>
      <c r="D48" t="n">
        <v>0</v>
      </c>
      <c r="E48" t="n">
        <v>0</v>
      </c>
      <c r="F48" t="n">
        <v>0</v>
      </c>
      <c r="G48" t="n">
        <v>0</v>
      </c>
      <c r="H48">
        <f>AVERAGE(D1876:G1876)</f>
        <v/>
      </c>
    </row>
    <row r="49">
      <c r="A49" t="inlineStr">
        <is>
          <t>36863338</t>
        </is>
      </c>
      <c r="B49" t="inlineStr">
        <is>
          <t>PRODUCTO 01E690</t>
        </is>
      </c>
      <c r="C49" t="inlineStr">
        <is>
          <t>Piura</t>
        </is>
      </c>
      <c r="D49" t="n">
        <v>2</v>
      </c>
      <c r="E49" t="n">
        <v>1</v>
      </c>
      <c r="F49" t="n">
        <v>1</v>
      </c>
      <c r="G49" t="n">
        <v>1</v>
      </c>
      <c r="H49">
        <f>AVERAGE(D1881:G1881)</f>
        <v/>
      </c>
    </row>
    <row r="50">
      <c r="A50" t="inlineStr">
        <is>
          <t>36887980</t>
        </is>
      </c>
      <c r="B50" t="inlineStr">
        <is>
          <t>PRODUCTO 9472FC</t>
        </is>
      </c>
      <c r="C50" t="inlineStr">
        <is>
          <t>Jockey Plaza</t>
        </is>
      </c>
      <c r="D50" t="n">
        <v>0</v>
      </c>
      <c r="E50" t="n">
        <v>0</v>
      </c>
      <c r="F50" t="n">
        <v>0</v>
      </c>
      <c r="G50" t="n">
        <v>0</v>
      </c>
      <c r="H50">
        <f>AVERAGE(D2101:G2101)</f>
        <v/>
      </c>
    </row>
    <row r="51">
      <c r="A51" t="inlineStr">
        <is>
          <t>36887980</t>
        </is>
      </c>
      <c r="B51" t="inlineStr">
        <is>
          <t>PRODUCTO 9472FC</t>
        </is>
      </c>
      <c r="C51" t="inlineStr">
        <is>
          <t>San Miguel</t>
        </is>
      </c>
      <c r="D51" t="n">
        <v>9</v>
      </c>
      <c r="E51" t="n">
        <v>5</v>
      </c>
      <c r="F51" t="n">
        <v>8</v>
      </c>
      <c r="G51" t="n">
        <v>3</v>
      </c>
      <c r="H51">
        <f>AVERAGE(D2102:G2102)</f>
        <v/>
      </c>
    </row>
    <row r="52">
      <c r="A52" t="inlineStr">
        <is>
          <t>36887980</t>
        </is>
      </c>
      <c r="B52" t="inlineStr">
        <is>
          <t>PRODUCTO 9472FC</t>
        </is>
      </c>
      <c r="C52" t="inlineStr">
        <is>
          <t>Miraflores</t>
        </is>
      </c>
      <c r="D52" t="n">
        <v>0</v>
      </c>
      <c r="E52" t="n">
        <v>0</v>
      </c>
      <c r="F52" t="n">
        <v>0</v>
      </c>
      <c r="G52" t="n">
        <v>0</v>
      </c>
      <c r="H52">
        <f>AVERAGE(D2103:G2103)</f>
        <v/>
      </c>
    </row>
    <row r="53">
      <c r="A53" t="inlineStr">
        <is>
          <t>36887980</t>
        </is>
      </c>
      <c r="B53" t="inlineStr">
        <is>
          <t>PRODUCTO 9472FC</t>
        </is>
      </c>
      <c r="C53" t="inlineStr">
        <is>
          <t>Salaverry</t>
        </is>
      </c>
      <c r="D53" t="n">
        <v>0</v>
      </c>
      <c r="E53" t="n">
        <v>0</v>
      </c>
      <c r="F53" t="n">
        <v>0</v>
      </c>
      <c r="G53" t="n">
        <v>0</v>
      </c>
      <c r="H53">
        <f>AVERAGE(D2112:G2112)</f>
        <v/>
      </c>
    </row>
    <row r="54">
      <c r="A54" t="inlineStr">
        <is>
          <t>36887980</t>
        </is>
      </c>
      <c r="B54" t="inlineStr">
        <is>
          <t>PRODUCTO 9472FC</t>
        </is>
      </c>
      <c r="C54" t="inlineStr">
        <is>
          <t>San Borja</t>
        </is>
      </c>
      <c r="D54" t="n">
        <v>1</v>
      </c>
      <c r="E54" t="n">
        <v>1</v>
      </c>
      <c r="F54" t="n">
        <v>1</v>
      </c>
      <c r="G54" t="n">
        <v>0</v>
      </c>
      <c r="H54">
        <f>AVERAGE(D2113:G2113)</f>
        <v/>
      </c>
    </row>
    <row r="55">
      <c r="A55" t="inlineStr">
        <is>
          <t>36887980</t>
        </is>
      </c>
      <c r="B55" t="inlineStr">
        <is>
          <t>PRODUCTO 9472FC</t>
        </is>
      </c>
      <c r="C55" t="inlineStr">
        <is>
          <t>Piura</t>
        </is>
      </c>
      <c r="D55" t="n">
        <v>0</v>
      </c>
      <c r="E55" t="n">
        <v>0</v>
      </c>
      <c r="F55" t="n">
        <v>0</v>
      </c>
      <c r="G55" t="n">
        <v>0</v>
      </c>
      <c r="H55">
        <f>AVERAGE(D2121:G2121)</f>
        <v/>
      </c>
    </row>
    <row r="56">
      <c r="A56" t="inlineStr">
        <is>
          <t>36896074</t>
        </is>
      </c>
      <c r="B56" t="inlineStr">
        <is>
          <t>PRODUCTO 665E7B</t>
        </is>
      </c>
      <c r="C56" t="inlineStr">
        <is>
          <t>Jockey Plaza</t>
        </is>
      </c>
      <c r="D56" t="n">
        <v>5</v>
      </c>
      <c r="E56" t="n">
        <v>3</v>
      </c>
      <c r="F56" t="n">
        <v>4</v>
      </c>
      <c r="G56" t="n">
        <v>2</v>
      </c>
      <c r="H56">
        <f>AVERAGE(D2304:G2304)</f>
        <v/>
      </c>
    </row>
    <row r="57">
      <c r="A57" t="inlineStr">
        <is>
          <t>36896074</t>
        </is>
      </c>
      <c r="B57" t="inlineStr">
        <is>
          <t>PRODUCTO 665E7B</t>
        </is>
      </c>
      <c r="C57" t="inlineStr">
        <is>
          <t>San Miguel</t>
        </is>
      </c>
      <c r="D57" t="n">
        <v>6</v>
      </c>
      <c r="E57" t="n">
        <v>3</v>
      </c>
      <c r="F57" t="n">
        <v>5</v>
      </c>
      <c r="G57" t="n">
        <v>3</v>
      </c>
      <c r="H57">
        <f>AVERAGE(D2305:G2305)</f>
        <v/>
      </c>
    </row>
    <row r="58">
      <c r="A58" t="inlineStr">
        <is>
          <t>36896074</t>
        </is>
      </c>
      <c r="B58" t="inlineStr">
        <is>
          <t>PRODUCTO 665E7B</t>
        </is>
      </c>
      <c r="C58" t="inlineStr">
        <is>
          <t>Miraflores</t>
        </is>
      </c>
      <c r="D58" t="n">
        <v>4</v>
      </c>
      <c r="E58" t="n">
        <v>2</v>
      </c>
      <c r="F58" t="n">
        <v>3</v>
      </c>
      <c r="G58" t="n">
        <v>2</v>
      </c>
      <c r="H58">
        <f>AVERAGE(D2306:G2306)</f>
        <v/>
      </c>
    </row>
    <row r="59">
      <c r="A59" t="inlineStr">
        <is>
          <t>36896074</t>
        </is>
      </c>
      <c r="B59" t="inlineStr">
        <is>
          <t>PRODUCTO 665E7B</t>
        </is>
      </c>
      <c r="C59" t="inlineStr">
        <is>
          <t>Salaverry</t>
        </is>
      </c>
      <c r="D59" t="n">
        <v>0</v>
      </c>
      <c r="E59" t="n">
        <v>0</v>
      </c>
      <c r="F59" t="n">
        <v>0</v>
      </c>
      <c r="G59" t="n">
        <v>0</v>
      </c>
      <c r="H59">
        <f>AVERAGE(D2315:G2315)</f>
        <v/>
      </c>
    </row>
    <row r="60">
      <c r="A60" t="inlineStr">
        <is>
          <t>36896074</t>
        </is>
      </c>
      <c r="B60" t="inlineStr">
        <is>
          <t>PRODUCTO 665E7B</t>
        </is>
      </c>
      <c r="C60" t="inlineStr">
        <is>
          <t>San Borja</t>
        </is>
      </c>
      <c r="D60" t="n">
        <v>7</v>
      </c>
      <c r="E60" t="n">
        <v>4</v>
      </c>
      <c r="F60" t="n">
        <v>6</v>
      </c>
      <c r="G60" t="n">
        <v>3</v>
      </c>
      <c r="H60">
        <f>AVERAGE(D2316:G2316)</f>
        <v/>
      </c>
    </row>
    <row r="61">
      <c r="A61" t="inlineStr">
        <is>
          <t>36896074</t>
        </is>
      </c>
      <c r="B61" t="inlineStr">
        <is>
          <t>PRODUCTO 665E7B</t>
        </is>
      </c>
      <c r="C61" t="inlineStr">
        <is>
          <t>Piura</t>
        </is>
      </c>
      <c r="D61" t="n">
        <v>5</v>
      </c>
      <c r="E61" t="n">
        <v>3</v>
      </c>
      <c r="F61" t="n">
        <v>4</v>
      </c>
      <c r="G61" t="n">
        <v>2</v>
      </c>
      <c r="H61">
        <f>AVERAGE(D2324:G2324)</f>
        <v/>
      </c>
    </row>
    <row r="62">
      <c r="A62" t="inlineStr">
        <is>
          <t>36901384</t>
        </is>
      </c>
      <c r="B62" t="inlineStr">
        <is>
          <t>PRODUCTO EAAA16</t>
        </is>
      </c>
      <c r="C62" t="inlineStr">
        <is>
          <t>Jockey Plaza</t>
        </is>
      </c>
      <c r="D62" t="n">
        <v>15</v>
      </c>
      <c r="E62" t="n">
        <v>9</v>
      </c>
      <c r="F62" t="n">
        <v>10</v>
      </c>
      <c r="G62" t="n">
        <v>4</v>
      </c>
      <c r="H62">
        <f>AVERAGE(D2435:G2435)</f>
        <v/>
      </c>
    </row>
    <row r="63">
      <c r="A63" t="inlineStr">
        <is>
          <t>36901384</t>
        </is>
      </c>
      <c r="B63" t="inlineStr">
        <is>
          <t>PRODUCTO EAAA16</t>
        </is>
      </c>
      <c r="C63" t="inlineStr">
        <is>
          <t>San Miguel</t>
        </is>
      </c>
      <c r="D63" t="n">
        <v>2</v>
      </c>
      <c r="E63" t="n">
        <v>1</v>
      </c>
      <c r="F63" t="n">
        <v>1</v>
      </c>
      <c r="G63" t="n">
        <v>1</v>
      </c>
      <c r="H63">
        <f>AVERAGE(D2436:G2436)</f>
        <v/>
      </c>
    </row>
    <row r="64">
      <c r="A64" t="inlineStr">
        <is>
          <t>36901384</t>
        </is>
      </c>
      <c r="B64" t="inlineStr">
        <is>
          <t>PRODUCTO EAAA16</t>
        </is>
      </c>
      <c r="C64" t="inlineStr">
        <is>
          <t>Miraflores</t>
        </is>
      </c>
      <c r="D64" t="n">
        <v>1</v>
      </c>
      <c r="E64" t="n">
        <v>1</v>
      </c>
      <c r="F64" t="n">
        <v>1</v>
      </c>
      <c r="G64" t="n">
        <v>0</v>
      </c>
      <c r="H64">
        <f>AVERAGE(D2437:G2437)</f>
        <v/>
      </c>
    </row>
    <row r="65">
      <c r="A65" t="inlineStr">
        <is>
          <t>36901384</t>
        </is>
      </c>
      <c r="B65" t="inlineStr">
        <is>
          <t>PRODUCTO EAAA16</t>
        </is>
      </c>
      <c r="C65" t="inlineStr">
        <is>
          <t>Salaverry</t>
        </is>
      </c>
      <c r="D65" t="n">
        <v>2</v>
      </c>
      <c r="E65" t="n">
        <v>1</v>
      </c>
      <c r="F65" t="n">
        <v>1</v>
      </c>
      <c r="G65" t="n">
        <v>1</v>
      </c>
      <c r="H65">
        <f>AVERAGE(D2446:G2446)</f>
        <v/>
      </c>
    </row>
    <row r="66">
      <c r="A66" t="inlineStr">
        <is>
          <t>36901384</t>
        </is>
      </c>
      <c r="B66" t="inlineStr">
        <is>
          <t>PRODUCTO EAAA16</t>
        </is>
      </c>
      <c r="C66" t="inlineStr">
        <is>
          <t>San Borja</t>
        </is>
      </c>
      <c r="D66" t="n">
        <v>2</v>
      </c>
      <c r="E66" t="n">
        <v>1</v>
      </c>
      <c r="F66" t="n">
        <v>1</v>
      </c>
      <c r="G66" t="n">
        <v>1</v>
      </c>
      <c r="H66">
        <f>AVERAGE(D2447:G2447)</f>
        <v/>
      </c>
    </row>
    <row r="67">
      <c r="A67" t="inlineStr">
        <is>
          <t>36901384</t>
        </is>
      </c>
      <c r="B67" t="inlineStr">
        <is>
          <t>PRODUCTO EAAA16</t>
        </is>
      </c>
      <c r="C67" t="inlineStr">
        <is>
          <t>Piura</t>
        </is>
      </c>
      <c r="D67" t="n">
        <v>2</v>
      </c>
      <c r="E67" t="n">
        <v>1</v>
      </c>
      <c r="F67" t="n">
        <v>1</v>
      </c>
      <c r="G67" t="n">
        <v>1</v>
      </c>
      <c r="H67">
        <f>AVERAGE(D2455:G2455)</f>
        <v/>
      </c>
    </row>
    <row r="68">
      <c r="A68" t="inlineStr">
        <is>
          <t>37010818</t>
        </is>
      </c>
      <c r="B68" t="inlineStr">
        <is>
          <t>PRODUCTO CC970F</t>
        </is>
      </c>
      <c r="C68" t="inlineStr">
        <is>
          <t>Jockey Plaza</t>
        </is>
      </c>
      <c r="D68" t="n">
        <v>2</v>
      </c>
      <c r="E68" t="n">
        <v>2</v>
      </c>
      <c r="F68" t="n">
        <v>2</v>
      </c>
      <c r="G68" t="n">
        <v>5</v>
      </c>
      <c r="H68">
        <f>AVERAGE(D2638:G2638)</f>
        <v/>
      </c>
    </row>
    <row r="69">
      <c r="A69" t="inlineStr">
        <is>
          <t>37010818</t>
        </is>
      </c>
      <c r="B69" t="inlineStr">
        <is>
          <t>PRODUCTO CC970F</t>
        </is>
      </c>
      <c r="C69" t="inlineStr">
        <is>
          <t>San Miguel</t>
        </is>
      </c>
      <c r="D69" t="n">
        <v>0</v>
      </c>
      <c r="E69" t="n">
        <v>0</v>
      </c>
      <c r="F69" t="n">
        <v>0</v>
      </c>
      <c r="G69" t="n">
        <v>0</v>
      </c>
      <c r="H69">
        <f>AVERAGE(D2639:G2639)</f>
        <v/>
      </c>
    </row>
    <row r="70">
      <c r="A70" t="inlineStr">
        <is>
          <t>37010818</t>
        </is>
      </c>
      <c r="B70" t="inlineStr">
        <is>
          <t>PRODUCTO CC970F</t>
        </is>
      </c>
      <c r="C70" t="inlineStr">
        <is>
          <t>Miraflores</t>
        </is>
      </c>
      <c r="D70" t="n">
        <v>0</v>
      </c>
      <c r="E70" t="n">
        <v>0</v>
      </c>
      <c r="F70" t="n">
        <v>0</v>
      </c>
      <c r="G70" t="n">
        <v>0</v>
      </c>
      <c r="H70">
        <f>AVERAGE(D2640:G2640)</f>
        <v/>
      </c>
    </row>
    <row r="71">
      <c r="A71" t="inlineStr">
        <is>
          <t>37010818</t>
        </is>
      </c>
      <c r="B71" t="inlineStr">
        <is>
          <t>PRODUCTO CC970F</t>
        </is>
      </c>
      <c r="C71" t="inlineStr">
        <is>
          <t>Salaverry</t>
        </is>
      </c>
      <c r="D71" t="n">
        <v>0</v>
      </c>
      <c r="E71" t="n">
        <v>0</v>
      </c>
      <c r="F71" t="n">
        <v>0</v>
      </c>
      <c r="G71" t="n">
        <v>0</v>
      </c>
      <c r="H71">
        <f>AVERAGE(D2646:G2646)</f>
        <v/>
      </c>
    </row>
    <row r="72">
      <c r="A72" t="inlineStr">
        <is>
          <t>37010818</t>
        </is>
      </c>
      <c r="B72" t="inlineStr">
        <is>
          <t>PRODUCTO CC970F</t>
        </is>
      </c>
      <c r="C72" t="inlineStr">
        <is>
          <t>San Borja</t>
        </is>
      </c>
      <c r="D72" t="n">
        <v>2</v>
      </c>
      <c r="E72" t="n">
        <v>2</v>
      </c>
      <c r="F72" t="n">
        <v>2</v>
      </c>
      <c r="G72" t="n">
        <v>5</v>
      </c>
      <c r="H72">
        <f>AVERAGE(D2647:G2647)</f>
        <v/>
      </c>
    </row>
    <row r="73">
      <c r="A73" t="inlineStr">
        <is>
          <t>37010818</t>
        </is>
      </c>
      <c r="B73" t="inlineStr">
        <is>
          <t>PRODUCTO CC970F</t>
        </is>
      </c>
      <c r="C73" t="inlineStr">
        <is>
          <t>Piura</t>
        </is>
      </c>
      <c r="D73" t="n">
        <v>3</v>
      </c>
      <c r="E73" t="n">
        <v>4</v>
      </c>
      <c r="F73" t="n">
        <v>4</v>
      </c>
      <c r="G73" t="n">
        <v>8</v>
      </c>
      <c r="H73">
        <f>AVERAGE(D2648:G2648)</f>
        <v/>
      </c>
    </row>
    <row r="74">
      <c r="A74" t="inlineStr">
        <is>
          <t>37315512</t>
        </is>
      </c>
      <c r="B74" t="inlineStr">
        <is>
          <t>PRODUCTO 030F69</t>
        </is>
      </c>
      <c r="C74" t="inlineStr">
        <is>
          <t>Jockey Plaza</t>
        </is>
      </c>
      <c r="D74" t="n">
        <v>3</v>
      </c>
      <c r="E74" t="n">
        <v>1</v>
      </c>
      <c r="F74" t="n">
        <v>2</v>
      </c>
      <c r="G74" t="n">
        <v>1</v>
      </c>
      <c r="H74">
        <f>AVERAGE(D2652:G2652)</f>
        <v/>
      </c>
    </row>
    <row r="75">
      <c r="A75" t="inlineStr">
        <is>
          <t>37315512</t>
        </is>
      </c>
      <c r="B75" t="inlineStr">
        <is>
          <t>PRODUCTO 030F69</t>
        </is>
      </c>
      <c r="C75" t="inlineStr">
        <is>
          <t>San Miguel</t>
        </is>
      </c>
      <c r="D75" t="n">
        <v>1</v>
      </c>
      <c r="E75" t="n">
        <v>0</v>
      </c>
      <c r="F75" t="n">
        <v>1</v>
      </c>
      <c r="G75" t="n">
        <v>0</v>
      </c>
      <c r="H75">
        <f>AVERAGE(D2653:G2653)</f>
        <v/>
      </c>
    </row>
    <row r="76">
      <c r="A76" t="inlineStr">
        <is>
          <t>37315512</t>
        </is>
      </c>
      <c r="B76" t="inlineStr">
        <is>
          <t>PRODUCTO 030F69</t>
        </is>
      </c>
      <c r="C76" t="inlineStr">
        <is>
          <t>Miraflores</t>
        </is>
      </c>
      <c r="D76" t="n">
        <v>1</v>
      </c>
      <c r="E76" t="n">
        <v>0</v>
      </c>
      <c r="F76" t="n">
        <v>1</v>
      </c>
      <c r="G76" t="n">
        <v>0</v>
      </c>
      <c r="H76">
        <f>AVERAGE(D2654:G2654)</f>
        <v/>
      </c>
    </row>
    <row r="77">
      <c r="A77" t="inlineStr">
        <is>
          <t>37315512</t>
        </is>
      </c>
      <c r="B77" t="inlineStr">
        <is>
          <t>PRODUCTO 030F69</t>
        </is>
      </c>
      <c r="C77" t="inlineStr">
        <is>
          <t>Salaverry</t>
        </is>
      </c>
      <c r="D77" t="n">
        <v>2</v>
      </c>
      <c r="E77" t="n">
        <v>0</v>
      </c>
      <c r="F77" t="n">
        <v>1</v>
      </c>
      <c r="G77" t="n">
        <v>0</v>
      </c>
      <c r="H77">
        <f>AVERAGE(D2661:G2661)</f>
        <v/>
      </c>
    </row>
    <row r="78">
      <c r="A78" t="inlineStr">
        <is>
          <t>37315512</t>
        </is>
      </c>
      <c r="B78" t="inlineStr">
        <is>
          <t>PRODUCTO 030F69</t>
        </is>
      </c>
      <c r="C78" t="inlineStr">
        <is>
          <t>San Borja</t>
        </is>
      </c>
      <c r="D78" t="n">
        <v>0</v>
      </c>
      <c r="E78" t="n">
        <v>0</v>
      </c>
      <c r="F78" t="n">
        <v>0</v>
      </c>
      <c r="G78" t="n">
        <v>0</v>
      </c>
      <c r="H78">
        <f>AVERAGE(D2662:G2662)</f>
        <v/>
      </c>
    </row>
    <row r="79">
      <c r="A79" t="inlineStr">
        <is>
          <t>26667022</t>
        </is>
      </c>
      <c r="B79" t="inlineStr">
        <is>
          <t>PRODUCTO 22F28B</t>
        </is>
      </c>
      <c r="C79" t="inlineStr">
        <is>
          <t>Jockey Plaza</t>
        </is>
      </c>
      <c r="D79" t="n">
        <v>0</v>
      </c>
      <c r="E79" t="n">
        <v>0</v>
      </c>
      <c r="F79" t="n">
        <v>0</v>
      </c>
      <c r="G79" t="n">
        <v>0</v>
      </c>
      <c r="H79">
        <f>AVERAGE(D2801:G2801)</f>
        <v/>
      </c>
    </row>
    <row r="80">
      <c r="A80" t="inlineStr">
        <is>
          <t>26667022</t>
        </is>
      </c>
      <c r="B80" t="inlineStr">
        <is>
          <t>PRODUCTO 22F28B</t>
        </is>
      </c>
      <c r="C80" t="inlineStr">
        <is>
          <t>San Miguel</t>
        </is>
      </c>
      <c r="D80" t="n">
        <v>2</v>
      </c>
      <c r="E80" t="n">
        <v>1</v>
      </c>
      <c r="F80" t="n">
        <v>0</v>
      </c>
      <c r="G80" t="n">
        <v>1</v>
      </c>
      <c r="H80">
        <f>AVERAGE(D2802:G2802)</f>
        <v/>
      </c>
    </row>
    <row r="81">
      <c r="A81" t="inlineStr">
        <is>
          <t>26667022</t>
        </is>
      </c>
      <c r="B81" t="inlineStr">
        <is>
          <t>PRODUCTO 22F28B</t>
        </is>
      </c>
      <c r="C81" t="inlineStr">
        <is>
          <t>Miraflores</t>
        </is>
      </c>
      <c r="D81" t="n">
        <v>0</v>
      </c>
      <c r="E81" t="n">
        <v>0</v>
      </c>
      <c r="F81" t="n">
        <v>0</v>
      </c>
      <c r="G81" t="n">
        <v>0</v>
      </c>
      <c r="H81">
        <f>AVERAGE(D2803:G2803)</f>
        <v/>
      </c>
    </row>
    <row r="82">
      <c r="A82" t="inlineStr">
        <is>
          <t>26667022</t>
        </is>
      </c>
      <c r="B82" t="inlineStr">
        <is>
          <t>PRODUCTO 22F28B</t>
        </is>
      </c>
      <c r="C82" t="inlineStr">
        <is>
          <t>Salaverry</t>
        </is>
      </c>
      <c r="D82" t="n">
        <v>1</v>
      </c>
      <c r="E82" t="n">
        <v>1</v>
      </c>
      <c r="F82" t="n">
        <v>0</v>
      </c>
      <c r="G82" t="n">
        <v>1</v>
      </c>
      <c r="H82">
        <f>AVERAGE(D2812:G2812)</f>
        <v/>
      </c>
    </row>
    <row r="83">
      <c r="A83" t="inlineStr">
        <is>
          <t>26667022</t>
        </is>
      </c>
      <c r="B83" t="inlineStr">
        <is>
          <t>PRODUCTO 22F28B</t>
        </is>
      </c>
      <c r="C83" t="inlineStr">
        <is>
          <t>San Borja</t>
        </is>
      </c>
      <c r="D83" t="n">
        <v>0</v>
      </c>
      <c r="E83" t="n">
        <v>0</v>
      </c>
      <c r="F83" t="n">
        <v>0</v>
      </c>
      <c r="G83" t="n">
        <v>0</v>
      </c>
      <c r="H83">
        <f>AVERAGE(D2813:G2813)</f>
        <v/>
      </c>
    </row>
    <row r="84">
      <c r="A84" t="inlineStr">
        <is>
          <t>26667022</t>
        </is>
      </c>
      <c r="B84" t="inlineStr">
        <is>
          <t>PRODUCTO 22F28B</t>
        </is>
      </c>
      <c r="C84" t="inlineStr">
        <is>
          <t>Piura</t>
        </is>
      </c>
      <c r="D84" t="n">
        <v>0</v>
      </c>
      <c r="E84" t="n">
        <v>0</v>
      </c>
      <c r="F84" t="n">
        <v>0</v>
      </c>
      <c r="G84" t="n">
        <v>0</v>
      </c>
      <c r="H84">
        <f>AVERAGE(D2819:G2819)</f>
        <v/>
      </c>
    </row>
    <row r="85">
      <c r="A85" t="inlineStr">
        <is>
          <t>30596506</t>
        </is>
      </c>
      <c r="B85" t="inlineStr">
        <is>
          <t>PRODUCTO 348026</t>
        </is>
      </c>
      <c r="C85" t="inlineStr">
        <is>
          <t>Miraflores</t>
        </is>
      </c>
      <c r="D85" t="n">
        <v>0</v>
      </c>
      <c r="E85" t="n">
        <v>0</v>
      </c>
      <c r="F85" t="n">
        <v>0</v>
      </c>
      <c r="G85" t="n">
        <v>0</v>
      </c>
      <c r="H85">
        <f>AVERAGE(D2836:G2836)</f>
        <v/>
      </c>
    </row>
    <row r="86">
      <c r="A86" t="inlineStr">
        <is>
          <t>30596506</t>
        </is>
      </c>
      <c r="B86" t="inlineStr">
        <is>
          <t>PRODUCTO 348026</t>
        </is>
      </c>
      <c r="C86" t="inlineStr">
        <is>
          <t>Salaverry</t>
        </is>
      </c>
      <c r="D86" t="n">
        <v>0</v>
      </c>
      <c r="E86" t="n">
        <v>0</v>
      </c>
      <c r="F86" t="n">
        <v>0</v>
      </c>
      <c r="G86" t="n">
        <v>0</v>
      </c>
      <c r="H86">
        <f>AVERAGE(D2839:G2839)</f>
        <v/>
      </c>
    </row>
    <row r="87">
      <c r="A87" t="inlineStr">
        <is>
          <t>30827521</t>
        </is>
      </c>
      <c r="B87" t="inlineStr">
        <is>
          <t>PRODUCTO D0A420</t>
        </is>
      </c>
      <c r="C87" t="inlineStr">
        <is>
          <t>Jockey Plaza</t>
        </is>
      </c>
      <c r="D87" t="n">
        <v>2</v>
      </c>
      <c r="E87" t="n">
        <v>1</v>
      </c>
      <c r="F87" t="n">
        <v>1</v>
      </c>
      <c r="G87" t="n">
        <v>1</v>
      </c>
      <c r="H87">
        <f>AVERAGE(D2856:G2856)</f>
        <v/>
      </c>
    </row>
    <row r="88">
      <c r="A88" t="inlineStr">
        <is>
          <t>30827521</t>
        </is>
      </c>
      <c r="B88" t="inlineStr">
        <is>
          <t>PRODUCTO D0A420</t>
        </is>
      </c>
      <c r="C88" t="inlineStr">
        <is>
          <t>San Miguel</t>
        </is>
      </c>
      <c r="D88" t="n">
        <v>0</v>
      </c>
      <c r="E88" t="n">
        <v>0</v>
      </c>
      <c r="F88" t="n">
        <v>0</v>
      </c>
      <c r="G88" t="n">
        <v>0</v>
      </c>
      <c r="H88">
        <f>AVERAGE(D2857:G2857)</f>
        <v/>
      </c>
    </row>
    <row r="89">
      <c r="A89" t="inlineStr">
        <is>
          <t>30827521</t>
        </is>
      </c>
      <c r="B89" t="inlineStr">
        <is>
          <t>PRODUCTO D0A420</t>
        </is>
      </c>
      <c r="C89" t="inlineStr">
        <is>
          <t>Miraflores</t>
        </is>
      </c>
      <c r="D89" t="n">
        <v>0</v>
      </c>
      <c r="E89" t="n">
        <v>0</v>
      </c>
      <c r="F89" t="n">
        <v>0</v>
      </c>
      <c r="G89" t="n">
        <v>0</v>
      </c>
      <c r="H89">
        <f>AVERAGE(D2858:G2858)</f>
        <v/>
      </c>
    </row>
    <row r="90">
      <c r="A90" t="inlineStr">
        <is>
          <t>30827521</t>
        </is>
      </c>
      <c r="B90" t="inlineStr">
        <is>
          <t>PRODUCTO D0A420</t>
        </is>
      </c>
      <c r="C90" t="inlineStr">
        <is>
          <t>Salaverry</t>
        </is>
      </c>
      <c r="D90" t="n">
        <v>0</v>
      </c>
      <c r="E90" t="n">
        <v>0</v>
      </c>
      <c r="F90" t="n">
        <v>0</v>
      </c>
      <c r="G90" t="n">
        <v>0</v>
      </c>
      <c r="H90">
        <f>AVERAGE(D2865:G2865)</f>
        <v/>
      </c>
    </row>
    <row r="91">
      <c r="A91" t="inlineStr">
        <is>
          <t>30827521</t>
        </is>
      </c>
      <c r="B91" t="inlineStr">
        <is>
          <t>PRODUCTO D0A420</t>
        </is>
      </c>
      <c r="C91" t="inlineStr">
        <is>
          <t>San Borja</t>
        </is>
      </c>
      <c r="D91" t="n">
        <v>0</v>
      </c>
      <c r="E91" t="n">
        <v>0</v>
      </c>
      <c r="F91" t="n">
        <v>0</v>
      </c>
      <c r="G91" t="n">
        <v>0</v>
      </c>
      <c r="H91">
        <f>AVERAGE(D2866:G2866)</f>
        <v/>
      </c>
    </row>
    <row r="92">
      <c r="A92" t="inlineStr">
        <is>
          <t>30919521</t>
        </is>
      </c>
      <c r="B92" t="inlineStr">
        <is>
          <t>PRODUCTO C309D7</t>
        </is>
      </c>
      <c r="C92" t="inlineStr">
        <is>
          <t>Salaverry</t>
        </is>
      </c>
      <c r="D92" t="n">
        <v>1</v>
      </c>
      <c r="E92" t="n">
        <v>0</v>
      </c>
      <c r="F92" t="n">
        <v>0</v>
      </c>
      <c r="G92" t="n">
        <v>0</v>
      </c>
      <c r="H92">
        <f>AVERAGE(D2877:G2877)</f>
        <v/>
      </c>
    </row>
    <row r="93">
      <c r="A93" t="inlineStr">
        <is>
          <t>31871513</t>
        </is>
      </c>
      <c r="B93" t="inlineStr">
        <is>
          <t>PRODUCTO EC369F</t>
        </is>
      </c>
      <c r="C93" t="inlineStr">
        <is>
          <t>San Miguel</t>
        </is>
      </c>
      <c r="D93" t="n">
        <v>0</v>
      </c>
      <c r="E93" t="n">
        <v>0</v>
      </c>
      <c r="F93" t="n">
        <v>0</v>
      </c>
      <c r="G93" t="n">
        <v>0</v>
      </c>
      <c r="H93">
        <f>AVERAGE(D2980:G2980)</f>
        <v/>
      </c>
    </row>
    <row r="94">
      <c r="A94" t="inlineStr">
        <is>
          <t>31871513</t>
        </is>
      </c>
      <c r="B94" t="inlineStr">
        <is>
          <t>PRODUCTO EC369F</t>
        </is>
      </c>
      <c r="C94" t="inlineStr">
        <is>
          <t>Miraflores</t>
        </is>
      </c>
      <c r="D94" t="n">
        <v>0</v>
      </c>
      <c r="E94" t="n">
        <v>0</v>
      </c>
      <c r="F94" t="n">
        <v>0</v>
      </c>
      <c r="G94" t="n">
        <v>0</v>
      </c>
      <c r="H94">
        <f>AVERAGE(D2981:G2981)</f>
        <v/>
      </c>
    </row>
    <row r="95">
      <c r="A95" t="inlineStr">
        <is>
          <t>34788213</t>
        </is>
      </c>
      <c r="B95" t="inlineStr">
        <is>
          <t>PRODUCTO D19A71</t>
        </is>
      </c>
      <c r="C95" t="inlineStr">
        <is>
          <t>Jockey Plaza</t>
        </is>
      </c>
      <c r="D95" t="n">
        <v>15</v>
      </c>
      <c r="E95" t="n">
        <v>8</v>
      </c>
      <c r="F95" t="n">
        <v>10</v>
      </c>
      <c r="G95" t="n">
        <v>11</v>
      </c>
      <c r="H95">
        <f>AVERAGE(D3117:G3117)</f>
        <v/>
      </c>
    </row>
    <row r="96">
      <c r="A96" t="inlineStr">
        <is>
          <t>34788213</t>
        </is>
      </c>
      <c r="B96" t="inlineStr">
        <is>
          <t>PRODUCTO D19A71</t>
        </is>
      </c>
      <c r="C96" t="inlineStr">
        <is>
          <t>San Miguel</t>
        </is>
      </c>
      <c r="D96" t="n">
        <v>4</v>
      </c>
      <c r="E96" t="n">
        <v>2</v>
      </c>
      <c r="F96" t="n">
        <v>3</v>
      </c>
      <c r="G96" t="n">
        <v>3</v>
      </c>
      <c r="H96">
        <f>AVERAGE(D3118:G3118)</f>
        <v/>
      </c>
    </row>
    <row r="97">
      <c r="A97" t="inlineStr">
        <is>
          <t>34788213</t>
        </is>
      </c>
      <c r="B97" t="inlineStr">
        <is>
          <t>PRODUCTO D19A71</t>
        </is>
      </c>
      <c r="C97" t="inlineStr">
        <is>
          <t>Miraflores</t>
        </is>
      </c>
      <c r="D97" t="n">
        <v>1</v>
      </c>
      <c r="E97" t="n">
        <v>1</v>
      </c>
      <c r="F97" t="n">
        <v>1</v>
      </c>
      <c r="G97" t="n">
        <v>1</v>
      </c>
      <c r="H97">
        <f>AVERAGE(D3119:G3119)</f>
        <v/>
      </c>
    </row>
    <row r="98">
      <c r="A98" t="inlineStr">
        <is>
          <t>34788213</t>
        </is>
      </c>
      <c r="B98" t="inlineStr">
        <is>
          <t>PRODUCTO D19A71</t>
        </is>
      </c>
      <c r="C98" t="inlineStr">
        <is>
          <t>Salaverry</t>
        </is>
      </c>
      <c r="D98" t="n">
        <v>5</v>
      </c>
      <c r="E98" t="n">
        <v>3</v>
      </c>
      <c r="F98" t="n">
        <v>3</v>
      </c>
      <c r="G98" t="n">
        <v>4</v>
      </c>
      <c r="H98">
        <f>AVERAGE(D3128:G3128)</f>
        <v/>
      </c>
    </row>
    <row r="99">
      <c r="A99" t="inlineStr">
        <is>
          <t>34788213</t>
        </is>
      </c>
      <c r="B99" t="inlineStr">
        <is>
          <t>PRODUCTO D19A71</t>
        </is>
      </c>
      <c r="C99" t="inlineStr">
        <is>
          <t>San Borja</t>
        </is>
      </c>
      <c r="D99" t="n">
        <v>8</v>
      </c>
      <c r="E99" t="n">
        <v>4</v>
      </c>
      <c r="F99" t="n">
        <v>5</v>
      </c>
      <c r="G99" t="n">
        <v>6</v>
      </c>
      <c r="H99">
        <f>AVERAGE(D3129:G3129)</f>
        <v/>
      </c>
    </row>
    <row r="100">
      <c r="A100" t="inlineStr">
        <is>
          <t>34788213</t>
        </is>
      </c>
      <c r="B100" t="inlineStr">
        <is>
          <t>PRODUCTO D19A71</t>
        </is>
      </c>
      <c r="C100" t="inlineStr">
        <is>
          <t>Piura</t>
        </is>
      </c>
      <c r="D100" t="n">
        <v>22</v>
      </c>
      <c r="E100" t="n">
        <v>12</v>
      </c>
      <c r="F100" t="n">
        <v>15</v>
      </c>
      <c r="G100" t="n">
        <v>16</v>
      </c>
      <c r="H100">
        <f>AVERAGE(D3135:G3135)</f>
        <v/>
      </c>
    </row>
    <row r="101">
      <c r="A101" t="inlineStr">
        <is>
          <t>36198237</t>
        </is>
      </c>
      <c r="B101" t="inlineStr">
        <is>
          <t>PRODUCTO 7F39F2</t>
        </is>
      </c>
      <c r="C101" t="inlineStr">
        <is>
          <t>Jockey Plaza</t>
        </is>
      </c>
      <c r="D101" t="n">
        <v>0</v>
      </c>
      <c r="E101" t="n">
        <v>0</v>
      </c>
      <c r="F101" t="n">
        <v>0</v>
      </c>
      <c r="G101" t="n">
        <v>0</v>
      </c>
      <c r="H101">
        <f>AVERAGE(D3435:G3435)</f>
        <v/>
      </c>
    </row>
    <row r="102">
      <c r="A102" t="inlineStr">
        <is>
          <t>36198237</t>
        </is>
      </c>
      <c r="B102" t="inlineStr">
        <is>
          <t>PRODUCTO 7F39F2</t>
        </is>
      </c>
      <c r="C102" t="inlineStr">
        <is>
          <t>San Miguel</t>
        </is>
      </c>
      <c r="D102" t="n">
        <v>0</v>
      </c>
      <c r="E102" t="n">
        <v>0</v>
      </c>
      <c r="F102" t="n">
        <v>0</v>
      </c>
      <c r="G102" t="n">
        <v>0</v>
      </c>
      <c r="H102">
        <f>AVERAGE(D3436:G3436)</f>
        <v/>
      </c>
    </row>
    <row r="103">
      <c r="A103" t="inlineStr">
        <is>
          <t>36198237</t>
        </is>
      </c>
      <c r="B103" t="inlineStr">
        <is>
          <t>PRODUCTO 7F39F2</t>
        </is>
      </c>
      <c r="C103" t="inlineStr">
        <is>
          <t>Miraflores</t>
        </is>
      </c>
      <c r="D103" t="n">
        <v>0</v>
      </c>
      <c r="E103" t="n">
        <v>0</v>
      </c>
      <c r="F103" t="n">
        <v>0</v>
      </c>
      <c r="G103" t="n">
        <v>0</v>
      </c>
      <c r="H103">
        <f>AVERAGE(D3437:G3437)</f>
        <v/>
      </c>
    </row>
    <row r="104">
      <c r="A104" t="inlineStr">
        <is>
          <t>36198237</t>
        </is>
      </c>
      <c r="B104" t="inlineStr">
        <is>
          <t>PRODUCTO 7F39F2</t>
        </is>
      </c>
      <c r="C104" t="inlineStr">
        <is>
          <t>Piura</t>
        </is>
      </c>
      <c r="D104" t="n">
        <v>1</v>
      </c>
      <c r="E104" t="n">
        <v>1</v>
      </c>
      <c r="F104" t="n">
        <v>1</v>
      </c>
      <c r="G104" t="n">
        <v>2</v>
      </c>
      <c r="H104">
        <f>AVERAGE(D3442:G3442)</f>
        <v/>
      </c>
    </row>
    <row r="105">
      <c r="A105" t="inlineStr">
        <is>
          <t>36200819</t>
        </is>
      </c>
      <c r="B105" t="inlineStr">
        <is>
          <t>PRODUCTO 459D32</t>
        </is>
      </c>
      <c r="C105" t="inlineStr">
        <is>
          <t>Jockey Plaza</t>
        </is>
      </c>
      <c r="D105" t="n">
        <v>1</v>
      </c>
      <c r="E105" t="n">
        <v>1</v>
      </c>
      <c r="F105" t="n">
        <v>1</v>
      </c>
      <c r="G105" t="n">
        <v>1</v>
      </c>
      <c r="H105">
        <f>AVERAGE(D3506:G3506)</f>
        <v/>
      </c>
    </row>
    <row r="106">
      <c r="A106" t="inlineStr">
        <is>
          <t>36200819</t>
        </is>
      </c>
      <c r="B106" t="inlineStr">
        <is>
          <t>PRODUCTO 459D32</t>
        </is>
      </c>
      <c r="C106" t="inlineStr">
        <is>
          <t>San Miguel</t>
        </is>
      </c>
      <c r="D106" t="n">
        <v>0</v>
      </c>
      <c r="E106" t="n">
        <v>0</v>
      </c>
      <c r="F106" t="n">
        <v>0</v>
      </c>
      <c r="G106" t="n">
        <v>0</v>
      </c>
      <c r="H106">
        <f>AVERAGE(D3507:G3507)</f>
        <v/>
      </c>
    </row>
    <row r="107">
      <c r="A107" t="inlineStr">
        <is>
          <t>36200819</t>
        </is>
      </c>
      <c r="B107" t="inlineStr">
        <is>
          <t>PRODUCTO 459D32</t>
        </is>
      </c>
      <c r="C107" t="inlineStr">
        <is>
          <t>San Borja</t>
        </is>
      </c>
      <c r="D107" t="n">
        <v>0</v>
      </c>
      <c r="E107" t="n">
        <v>0</v>
      </c>
      <c r="F107" t="n">
        <v>0</v>
      </c>
      <c r="G107" t="n">
        <v>0</v>
      </c>
      <c r="H107">
        <f>AVERAGE(D3513:G3513)</f>
        <v/>
      </c>
    </row>
    <row r="108">
      <c r="A108" t="inlineStr">
        <is>
          <t>36200819</t>
        </is>
      </c>
      <c r="B108" t="inlineStr">
        <is>
          <t>PRODUCTO 459D32</t>
        </is>
      </c>
      <c r="C108" t="inlineStr">
        <is>
          <t>Piura</t>
        </is>
      </c>
      <c r="D108" t="n">
        <v>0</v>
      </c>
      <c r="E108" t="n">
        <v>0</v>
      </c>
      <c r="F108" t="n">
        <v>0</v>
      </c>
      <c r="G108" t="n">
        <v>0</v>
      </c>
      <c r="H108">
        <f>AVERAGE(D3519:G3519)</f>
        <v/>
      </c>
    </row>
    <row r="109">
      <c r="A109" t="inlineStr">
        <is>
          <t>36622333</t>
        </is>
      </c>
      <c r="B109" t="inlineStr">
        <is>
          <t>PRODUCTO 418ABB</t>
        </is>
      </c>
      <c r="C109" t="inlineStr">
        <is>
          <t>Jockey Plaza</t>
        </is>
      </c>
      <c r="D109" t="n">
        <v>0</v>
      </c>
      <c r="E109" t="n">
        <v>0</v>
      </c>
      <c r="F109" t="n">
        <v>0</v>
      </c>
      <c r="G109" t="n">
        <v>0</v>
      </c>
      <c r="H109">
        <f>AVERAGE(D3756:G3756)</f>
        <v/>
      </c>
    </row>
    <row r="110">
      <c r="A110" t="inlineStr">
        <is>
          <t>36622333</t>
        </is>
      </c>
      <c r="B110" t="inlineStr">
        <is>
          <t>PRODUCTO 418ABB</t>
        </is>
      </c>
      <c r="C110" t="inlineStr">
        <is>
          <t>San Miguel</t>
        </is>
      </c>
      <c r="D110" t="n">
        <v>0</v>
      </c>
      <c r="E110" t="n">
        <v>0</v>
      </c>
      <c r="F110" t="n">
        <v>0</v>
      </c>
      <c r="G110" t="n">
        <v>0</v>
      </c>
      <c r="H110">
        <f>AVERAGE(D3757:G3757)</f>
        <v/>
      </c>
    </row>
    <row r="111">
      <c r="A111" t="inlineStr">
        <is>
          <t>36622333</t>
        </is>
      </c>
      <c r="B111" t="inlineStr">
        <is>
          <t>PRODUCTO 418ABB</t>
        </is>
      </c>
      <c r="C111" t="inlineStr">
        <is>
          <t>Salaverry</t>
        </is>
      </c>
      <c r="D111" t="n">
        <v>0</v>
      </c>
      <c r="E111" t="n">
        <v>0</v>
      </c>
      <c r="F111" t="n">
        <v>0</v>
      </c>
      <c r="G111" t="n">
        <v>0</v>
      </c>
      <c r="H111">
        <f>AVERAGE(D3763:G3763)</f>
        <v/>
      </c>
    </row>
    <row r="112">
      <c r="A112" t="inlineStr">
        <is>
          <t>36647371</t>
        </is>
      </c>
      <c r="B112" t="inlineStr">
        <is>
          <t>PRODUCTO ADFC17</t>
        </is>
      </c>
      <c r="C112" t="inlineStr">
        <is>
          <t>Jockey Plaza</t>
        </is>
      </c>
      <c r="D112" t="n">
        <v>5</v>
      </c>
      <c r="E112" t="n">
        <v>6</v>
      </c>
      <c r="F112" t="n">
        <v>8</v>
      </c>
      <c r="G112" t="n">
        <v>5</v>
      </c>
      <c r="H112">
        <f>AVERAGE(D3850:G3850)</f>
        <v/>
      </c>
    </row>
    <row r="113">
      <c r="A113" t="inlineStr">
        <is>
          <t>36647371</t>
        </is>
      </c>
      <c r="B113" t="inlineStr">
        <is>
          <t>PRODUCTO ADFC17</t>
        </is>
      </c>
      <c r="C113" t="inlineStr">
        <is>
          <t>San Miguel</t>
        </is>
      </c>
      <c r="D113" t="n">
        <v>1</v>
      </c>
      <c r="E113" t="n">
        <v>1</v>
      </c>
      <c r="F113" t="n">
        <v>2</v>
      </c>
      <c r="G113" t="n">
        <v>1</v>
      </c>
      <c r="H113">
        <f>AVERAGE(D3851:G3851)</f>
        <v/>
      </c>
    </row>
    <row r="114">
      <c r="A114" t="inlineStr">
        <is>
          <t>36647371</t>
        </is>
      </c>
      <c r="B114" t="inlineStr">
        <is>
          <t>PRODUCTO ADFC17</t>
        </is>
      </c>
      <c r="C114" t="inlineStr">
        <is>
          <t>San Borja</t>
        </is>
      </c>
      <c r="D114" t="n">
        <v>2</v>
      </c>
      <c r="E114" t="n">
        <v>2</v>
      </c>
      <c r="F114" t="n">
        <v>3</v>
      </c>
      <c r="G114" t="n">
        <v>2</v>
      </c>
      <c r="H114">
        <f>AVERAGE(D3857:G3857)</f>
        <v/>
      </c>
    </row>
    <row r="115">
      <c r="A115" t="inlineStr">
        <is>
          <t>36647371</t>
        </is>
      </c>
      <c r="B115" t="inlineStr">
        <is>
          <t>PRODUCTO ADFC17</t>
        </is>
      </c>
      <c r="C115" t="inlineStr">
        <is>
          <t>Piura</t>
        </is>
      </c>
      <c r="D115" t="n">
        <v>0</v>
      </c>
      <c r="E115" t="n">
        <v>0</v>
      </c>
      <c r="F115" t="n">
        <v>0</v>
      </c>
      <c r="G115" t="n">
        <v>0</v>
      </c>
      <c r="H115">
        <f>AVERAGE(D3864:G3864)</f>
        <v/>
      </c>
    </row>
    <row r="116">
      <c r="A116" t="inlineStr">
        <is>
          <t>36658901</t>
        </is>
      </c>
      <c r="B116" t="inlineStr">
        <is>
          <t>PRODUCTO 0EB295</t>
        </is>
      </c>
      <c r="C116" t="inlineStr">
        <is>
          <t>Jockey Plaza</t>
        </is>
      </c>
      <c r="D116" t="n">
        <v>3</v>
      </c>
      <c r="E116" t="n">
        <v>2</v>
      </c>
      <c r="F116" t="n">
        <v>2</v>
      </c>
      <c r="G116" t="n">
        <v>2</v>
      </c>
      <c r="H116">
        <f>AVERAGE(D3995:G3995)</f>
        <v/>
      </c>
    </row>
    <row r="117">
      <c r="A117" t="inlineStr">
        <is>
          <t>36658901</t>
        </is>
      </c>
      <c r="B117" t="inlineStr">
        <is>
          <t>PRODUCTO 0EB295</t>
        </is>
      </c>
      <c r="C117" t="inlineStr">
        <is>
          <t>San Miguel</t>
        </is>
      </c>
      <c r="D117" t="n">
        <v>3</v>
      </c>
      <c r="E117" t="n">
        <v>2</v>
      </c>
      <c r="F117" t="n">
        <v>2</v>
      </c>
      <c r="G117" t="n">
        <v>2</v>
      </c>
      <c r="H117">
        <f>AVERAGE(D3996:G3996)</f>
        <v/>
      </c>
    </row>
    <row r="118">
      <c r="A118" t="inlineStr">
        <is>
          <t>36658901</t>
        </is>
      </c>
      <c r="B118" t="inlineStr">
        <is>
          <t>PRODUCTO 0EB295</t>
        </is>
      </c>
      <c r="C118" t="inlineStr">
        <is>
          <t>Miraflores</t>
        </is>
      </c>
      <c r="D118" t="n">
        <v>0</v>
      </c>
      <c r="E118" t="n">
        <v>0</v>
      </c>
      <c r="F118" t="n">
        <v>0</v>
      </c>
      <c r="G118" t="n">
        <v>0</v>
      </c>
      <c r="H118">
        <f>AVERAGE(D3997:G3997)</f>
        <v/>
      </c>
    </row>
    <row r="119">
      <c r="A119" t="inlineStr">
        <is>
          <t>36658901</t>
        </is>
      </c>
      <c r="B119" t="inlineStr">
        <is>
          <t>PRODUCTO 0EB295</t>
        </is>
      </c>
      <c r="C119" t="inlineStr">
        <is>
          <t>Salaverry</t>
        </is>
      </c>
      <c r="D119" t="n">
        <v>2</v>
      </c>
      <c r="E119" t="n">
        <v>1</v>
      </c>
      <c r="F119" t="n">
        <v>1</v>
      </c>
      <c r="G119" t="n">
        <v>1</v>
      </c>
      <c r="H119">
        <f>AVERAGE(D4006:G4006)</f>
        <v/>
      </c>
    </row>
    <row r="120">
      <c r="A120" t="inlineStr">
        <is>
          <t>36658901</t>
        </is>
      </c>
      <c r="B120" t="inlineStr">
        <is>
          <t>PRODUCTO 0EB295</t>
        </is>
      </c>
      <c r="C120" t="inlineStr">
        <is>
          <t>San Borja</t>
        </is>
      </c>
      <c r="D120" t="n">
        <v>0</v>
      </c>
      <c r="E120" t="n">
        <v>0</v>
      </c>
      <c r="F120" t="n">
        <v>0</v>
      </c>
      <c r="G120" t="n">
        <v>0</v>
      </c>
      <c r="H120">
        <f>AVERAGE(D4007:G4007)</f>
        <v/>
      </c>
    </row>
    <row r="121">
      <c r="A121" t="inlineStr">
        <is>
          <t>36658901</t>
        </is>
      </c>
      <c r="B121" t="inlineStr">
        <is>
          <t>PRODUCTO 0EB295</t>
        </is>
      </c>
      <c r="C121" t="inlineStr">
        <is>
          <t>Piura</t>
        </is>
      </c>
      <c r="D121" t="n">
        <v>0</v>
      </c>
      <c r="E121" t="n">
        <v>0</v>
      </c>
      <c r="F121" t="n">
        <v>0</v>
      </c>
      <c r="G121" t="n">
        <v>0</v>
      </c>
      <c r="H121">
        <f>AVERAGE(D4015:G4015)</f>
        <v/>
      </c>
    </row>
    <row r="122">
      <c r="A122" t="inlineStr">
        <is>
          <t>36863178</t>
        </is>
      </c>
      <c r="B122" t="inlineStr">
        <is>
          <t>PRODUCTO C2C776</t>
        </is>
      </c>
      <c r="C122" t="inlineStr">
        <is>
          <t>Jockey Plaza</t>
        </is>
      </c>
      <c r="D122" t="n">
        <v>5</v>
      </c>
      <c r="E122" t="n">
        <v>3</v>
      </c>
      <c r="F122" t="n">
        <v>2</v>
      </c>
      <c r="G122" t="n">
        <v>3</v>
      </c>
      <c r="H122">
        <f>AVERAGE(D4212:G4212)</f>
        <v/>
      </c>
    </row>
    <row r="123">
      <c r="A123" t="inlineStr">
        <is>
          <t>36863178</t>
        </is>
      </c>
      <c r="B123" t="inlineStr">
        <is>
          <t>PRODUCTO C2C776</t>
        </is>
      </c>
      <c r="C123" t="inlineStr">
        <is>
          <t>San Miguel</t>
        </is>
      </c>
      <c r="D123" t="n">
        <v>2</v>
      </c>
      <c r="E123" t="n">
        <v>1</v>
      </c>
      <c r="F123" t="n">
        <v>1</v>
      </c>
      <c r="G123" t="n">
        <v>1</v>
      </c>
      <c r="H123">
        <f>AVERAGE(D4213:G4213)</f>
        <v/>
      </c>
    </row>
    <row r="124">
      <c r="A124" t="inlineStr">
        <is>
          <t>36863178</t>
        </is>
      </c>
      <c r="B124" t="inlineStr">
        <is>
          <t>PRODUCTO C2C776</t>
        </is>
      </c>
      <c r="C124" t="inlineStr">
        <is>
          <t>Miraflores</t>
        </is>
      </c>
      <c r="D124" t="n">
        <v>2</v>
      </c>
      <c r="E124" t="n">
        <v>1</v>
      </c>
      <c r="F124" t="n">
        <v>1</v>
      </c>
      <c r="G124" t="n">
        <v>1</v>
      </c>
      <c r="H124">
        <f>AVERAGE(D4214:G4214)</f>
        <v/>
      </c>
    </row>
    <row r="125">
      <c r="A125" t="inlineStr">
        <is>
          <t>36863178</t>
        </is>
      </c>
      <c r="B125" t="inlineStr">
        <is>
          <t>PRODUCTO C2C776</t>
        </is>
      </c>
      <c r="C125" t="inlineStr">
        <is>
          <t>Salaverry</t>
        </is>
      </c>
      <c r="D125" t="n">
        <v>1</v>
      </c>
      <c r="E125" t="n">
        <v>1</v>
      </c>
      <c r="F125" t="n">
        <v>0</v>
      </c>
      <c r="G125" t="n">
        <v>1</v>
      </c>
      <c r="H125">
        <f>AVERAGE(D4223:G4223)</f>
        <v/>
      </c>
    </row>
    <row r="126">
      <c r="A126" t="inlineStr">
        <is>
          <t>36863178</t>
        </is>
      </c>
      <c r="B126" t="inlineStr">
        <is>
          <t>PRODUCTO C2C776</t>
        </is>
      </c>
      <c r="C126" t="inlineStr">
        <is>
          <t>San Borja</t>
        </is>
      </c>
      <c r="D126" t="n">
        <v>4</v>
      </c>
      <c r="E126" t="n">
        <v>3</v>
      </c>
      <c r="F126" t="n">
        <v>2</v>
      </c>
      <c r="G126" t="n">
        <v>2</v>
      </c>
      <c r="H126">
        <f>AVERAGE(D4224:G4224)</f>
        <v/>
      </c>
    </row>
    <row r="127">
      <c r="A127" t="inlineStr">
        <is>
          <t>36863178</t>
        </is>
      </c>
      <c r="B127" t="inlineStr">
        <is>
          <t>PRODUCTO C2C776</t>
        </is>
      </c>
      <c r="C127" t="inlineStr">
        <is>
          <t>Piura</t>
        </is>
      </c>
      <c r="D127" t="n">
        <v>8</v>
      </c>
      <c r="E127" t="n">
        <v>5</v>
      </c>
      <c r="F127" t="n">
        <v>4</v>
      </c>
      <c r="G127" t="n">
        <v>5</v>
      </c>
      <c r="H127">
        <f>AVERAGE(D4231:G4231)</f>
        <v/>
      </c>
    </row>
    <row r="128">
      <c r="A128" t="inlineStr">
        <is>
          <t>22405600</t>
        </is>
      </c>
      <c r="B128" t="inlineStr">
        <is>
          <t>PRODUCTO 2B7637</t>
        </is>
      </c>
      <c r="C128" t="inlineStr">
        <is>
          <t>San Borja</t>
        </is>
      </c>
      <c r="D128" t="n">
        <v>0</v>
      </c>
      <c r="E128" t="n">
        <v>0</v>
      </c>
      <c r="F128" t="n">
        <v>0</v>
      </c>
      <c r="G128" t="n">
        <v>0</v>
      </c>
      <c r="H128">
        <f>AVERAGE(D4612:G4612)</f>
        <v/>
      </c>
    </row>
    <row r="129">
      <c r="A129" t="inlineStr">
        <is>
          <t>28943467</t>
        </is>
      </c>
      <c r="B129" t="inlineStr">
        <is>
          <t>PRODUCTO 6ADAFE</t>
        </is>
      </c>
      <c r="C129" t="inlineStr">
        <is>
          <t>Jockey Plaza</t>
        </is>
      </c>
      <c r="D129" t="n">
        <v>0</v>
      </c>
      <c r="E129" t="n">
        <v>0</v>
      </c>
      <c r="F129" t="n">
        <v>0</v>
      </c>
      <c r="G129" t="n">
        <v>0</v>
      </c>
      <c r="H129">
        <f>AVERAGE(D4889:G4889)</f>
        <v/>
      </c>
    </row>
    <row r="130">
      <c r="A130" t="inlineStr">
        <is>
          <t>28943467</t>
        </is>
      </c>
      <c r="B130" t="inlineStr">
        <is>
          <t>PRODUCTO 6ADAFE</t>
        </is>
      </c>
      <c r="C130" t="inlineStr">
        <is>
          <t>San Miguel</t>
        </is>
      </c>
      <c r="D130" t="n">
        <v>0</v>
      </c>
      <c r="E130" t="n">
        <v>0</v>
      </c>
      <c r="F130" t="n">
        <v>0</v>
      </c>
      <c r="G130" t="n">
        <v>0</v>
      </c>
      <c r="H130">
        <f>AVERAGE(D4890:G4890)</f>
        <v/>
      </c>
    </row>
    <row r="131">
      <c r="A131" t="inlineStr">
        <is>
          <t>28943467</t>
        </is>
      </c>
      <c r="B131" t="inlineStr">
        <is>
          <t>PRODUCTO 6ADAFE</t>
        </is>
      </c>
      <c r="C131" t="inlineStr">
        <is>
          <t>Miraflores</t>
        </is>
      </c>
      <c r="D131" t="n">
        <v>0</v>
      </c>
      <c r="E131" t="n">
        <v>0</v>
      </c>
      <c r="F131" t="n">
        <v>0</v>
      </c>
      <c r="G131" t="n">
        <v>0</v>
      </c>
      <c r="H131">
        <f>AVERAGE(D4891:G4891)</f>
        <v/>
      </c>
    </row>
    <row r="132">
      <c r="A132" t="inlineStr">
        <is>
          <t>28943467</t>
        </is>
      </c>
      <c r="B132" t="inlineStr">
        <is>
          <t>PRODUCTO 6ADAFE</t>
        </is>
      </c>
      <c r="C132" t="inlineStr">
        <is>
          <t>Salaverry</t>
        </is>
      </c>
      <c r="D132" t="n">
        <v>0</v>
      </c>
      <c r="E132" t="n">
        <v>0</v>
      </c>
      <c r="F132" t="n">
        <v>0</v>
      </c>
      <c r="G132" t="n">
        <v>0</v>
      </c>
      <c r="H132">
        <f>AVERAGE(D4898:G4898)</f>
        <v/>
      </c>
    </row>
    <row r="133">
      <c r="A133" t="inlineStr">
        <is>
          <t>28943467</t>
        </is>
      </c>
      <c r="B133" t="inlineStr">
        <is>
          <t>PRODUCTO 6ADAFE</t>
        </is>
      </c>
      <c r="C133" t="inlineStr">
        <is>
          <t>San Borja</t>
        </is>
      </c>
      <c r="D133" t="n">
        <v>0</v>
      </c>
      <c r="E133" t="n">
        <v>0</v>
      </c>
      <c r="F133" t="n">
        <v>0</v>
      </c>
      <c r="G133" t="n">
        <v>0</v>
      </c>
      <c r="H133">
        <f>AVERAGE(D4899:G4899)</f>
        <v/>
      </c>
    </row>
    <row r="134">
      <c r="A134" t="inlineStr">
        <is>
          <t>28943467</t>
        </is>
      </c>
      <c r="B134" t="inlineStr">
        <is>
          <t>PRODUCTO 6ADAFE</t>
        </is>
      </c>
      <c r="C134" t="inlineStr">
        <is>
          <t>Piura</t>
        </is>
      </c>
      <c r="D134" t="n">
        <v>1</v>
      </c>
      <c r="E134" t="n">
        <v>1</v>
      </c>
      <c r="F134" t="n">
        <v>1</v>
      </c>
      <c r="G134" t="n">
        <v>1</v>
      </c>
      <c r="H134">
        <f>AVERAGE(D4901:G4901)</f>
        <v/>
      </c>
    </row>
    <row r="135">
      <c r="A135" t="inlineStr">
        <is>
          <t>28943525</t>
        </is>
      </c>
      <c r="B135" t="inlineStr">
        <is>
          <t>PRODUCTO 88AFE1</t>
        </is>
      </c>
      <c r="C135" t="inlineStr">
        <is>
          <t>Jockey Plaza</t>
        </is>
      </c>
      <c r="D135" t="n">
        <v>0</v>
      </c>
      <c r="E135" t="n">
        <v>0</v>
      </c>
      <c r="F135" t="n">
        <v>0</v>
      </c>
      <c r="G135" t="n">
        <v>0</v>
      </c>
      <c r="H135">
        <f>AVERAGE(D4907:G4907)</f>
        <v/>
      </c>
    </row>
    <row r="136">
      <c r="A136" t="inlineStr">
        <is>
          <t>28943525</t>
        </is>
      </c>
      <c r="B136" t="inlineStr">
        <is>
          <t>PRODUCTO 88AFE1</t>
        </is>
      </c>
      <c r="C136" t="inlineStr">
        <is>
          <t>San Miguel</t>
        </is>
      </c>
      <c r="D136" t="n">
        <v>0</v>
      </c>
      <c r="E136" t="n">
        <v>0</v>
      </c>
      <c r="F136" t="n">
        <v>0</v>
      </c>
      <c r="G136" t="n">
        <v>0</v>
      </c>
      <c r="H136">
        <f>AVERAGE(D4908:G4908)</f>
        <v/>
      </c>
    </row>
    <row r="137">
      <c r="A137" t="inlineStr">
        <is>
          <t>28943525</t>
        </is>
      </c>
      <c r="B137" t="inlineStr">
        <is>
          <t>PRODUCTO 88AFE1</t>
        </is>
      </c>
      <c r="C137" t="inlineStr">
        <is>
          <t>Miraflores</t>
        </is>
      </c>
      <c r="D137" t="n">
        <v>1</v>
      </c>
      <c r="E137" t="n">
        <v>1</v>
      </c>
      <c r="F137" t="n">
        <v>0</v>
      </c>
      <c r="G137" t="n">
        <v>1</v>
      </c>
      <c r="H137">
        <f>AVERAGE(D4909:G4909)</f>
        <v/>
      </c>
    </row>
    <row r="138">
      <c r="A138" t="inlineStr">
        <is>
          <t>28943525</t>
        </is>
      </c>
      <c r="B138" t="inlineStr">
        <is>
          <t>PRODUCTO 88AFE1</t>
        </is>
      </c>
      <c r="C138" t="inlineStr">
        <is>
          <t>Salaverry</t>
        </is>
      </c>
      <c r="D138" t="n">
        <v>0</v>
      </c>
      <c r="E138" t="n">
        <v>0</v>
      </c>
      <c r="F138" t="n">
        <v>0</v>
      </c>
      <c r="G138" t="n">
        <v>0</v>
      </c>
      <c r="H138">
        <f>AVERAGE(D4916:G4916)</f>
        <v/>
      </c>
    </row>
    <row r="139">
      <c r="A139" t="inlineStr">
        <is>
          <t>28943525</t>
        </is>
      </c>
      <c r="B139" t="inlineStr">
        <is>
          <t>PRODUCTO 88AFE1</t>
        </is>
      </c>
      <c r="C139" t="inlineStr">
        <is>
          <t>San Borja</t>
        </is>
      </c>
      <c r="D139" t="n">
        <v>0</v>
      </c>
      <c r="E139" t="n">
        <v>0</v>
      </c>
      <c r="F139" t="n">
        <v>0</v>
      </c>
      <c r="G139" t="n">
        <v>0</v>
      </c>
      <c r="H139">
        <f>AVERAGE(D4917:G4917)</f>
        <v/>
      </c>
    </row>
    <row r="140">
      <c r="A140" t="inlineStr">
        <is>
          <t>28943525</t>
        </is>
      </c>
      <c r="B140" t="inlineStr">
        <is>
          <t>PRODUCTO 88AFE1</t>
        </is>
      </c>
      <c r="C140" t="inlineStr">
        <is>
          <t>Piura</t>
        </is>
      </c>
      <c r="D140" t="n">
        <v>1</v>
      </c>
      <c r="E140" t="n">
        <v>1</v>
      </c>
      <c r="F140" t="n">
        <v>0</v>
      </c>
      <c r="G140" t="n">
        <v>1</v>
      </c>
      <c r="H140">
        <f>AVERAGE(D4920:G4920)</f>
        <v/>
      </c>
    </row>
    <row r="141">
      <c r="A141" t="inlineStr">
        <is>
          <t>31684401</t>
        </is>
      </c>
      <c r="B141" t="inlineStr">
        <is>
          <t>PRODUCTO 12B7E1</t>
        </is>
      </c>
      <c r="C141" t="inlineStr">
        <is>
          <t>Jockey Plaza</t>
        </is>
      </c>
      <c r="D141" t="n">
        <v>0</v>
      </c>
      <c r="E141" t="n">
        <v>0</v>
      </c>
      <c r="F141" t="n">
        <v>0</v>
      </c>
      <c r="G141" t="n">
        <v>0</v>
      </c>
      <c r="H141">
        <f>AVERAGE(D4972:G4972)</f>
        <v/>
      </c>
    </row>
    <row r="142">
      <c r="A142" t="inlineStr">
        <is>
          <t>31684401</t>
        </is>
      </c>
      <c r="B142" t="inlineStr">
        <is>
          <t>PRODUCTO 12B7E1</t>
        </is>
      </c>
      <c r="C142" t="inlineStr">
        <is>
          <t>San Miguel</t>
        </is>
      </c>
      <c r="D142" t="n">
        <v>0</v>
      </c>
      <c r="E142" t="n">
        <v>0</v>
      </c>
      <c r="F142" t="n">
        <v>0</v>
      </c>
      <c r="G142" t="n">
        <v>0</v>
      </c>
      <c r="H142">
        <f>AVERAGE(D4973:G4973)</f>
        <v/>
      </c>
    </row>
    <row r="143">
      <c r="A143" t="inlineStr">
        <is>
          <t>31684401</t>
        </is>
      </c>
      <c r="B143" t="inlineStr">
        <is>
          <t>PRODUCTO 12B7E1</t>
        </is>
      </c>
      <c r="C143" t="inlineStr">
        <is>
          <t>Miraflores</t>
        </is>
      </c>
      <c r="D143" t="n">
        <v>4</v>
      </c>
      <c r="E143" t="n">
        <v>4</v>
      </c>
      <c r="F143" t="n">
        <v>3</v>
      </c>
      <c r="G143" t="n">
        <v>1</v>
      </c>
      <c r="H143">
        <f>AVERAGE(D4974:G4974)</f>
        <v/>
      </c>
    </row>
    <row r="144">
      <c r="A144" t="inlineStr">
        <is>
          <t>31684401</t>
        </is>
      </c>
      <c r="B144" t="inlineStr">
        <is>
          <t>PRODUCTO 12B7E1</t>
        </is>
      </c>
      <c r="C144" t="inlineStr">
        <is>
          <t>Salaverry</t>
        </is>
      </c>
      <c r="D144" t="n">
        <v>0</v>
      </c>
      <c r="E144" t="n">
        <v>0</v>
      </c>
      <c r="F144" t="n">
        <v>0</v>
      </c>
      <c r="G144" t="n">
        <v>0</v>
      </c>
      <c r="H144">
        <f>AVERAGE(D4981:G4981)</f>
        <v/>
      </c>
    </row>
    <row r="145">
      <c r="A145" t="inlineStr">
        <is>
          <t>31684401</t>
        </is>
      </c>
      <c r="B145" t="inlineStr">
        <is>
          <t>PRODUCTO 12B7E1</t>
        </is>
      </c>
      <c r="C145" t="inlineStr">
        <is>
          <t>San Borja</t>
        </is>
      </c>
      <c r="D145" t="n">
        <v>1</v>
      </c>
      <c r="E145" t="n">
        <v>1</v>
      </c>
      <c r="F145" t="n">
        <v>1</v>
      </c>
      <c r="G145" t="n">
        <v>0</v>
      </c>
      <c r="H145">
        <f>AVERAGE(D4982:G4982)</f>
        <v/>
      </c>
    </row>
    <row r="146">
      <c r="A146" t="inlineStr">
        <is>
          <t>31684401</t>
        </is>
      </c>
      <c r="B146" t="inlineStr">
        <is>
          <t>PRODUCTO 12B7E1</t>
        </is>
      </c>
      <c r="C146" t="inlineStr">
        <is>
          <t>Piura</t>
        </is>
      </c>
      <c r="D146" t="n">
        <v>1</v>
      </c>
      <c r="E146" t="n">
        <v>1</v>
      </c>
      <c r="F146" t="n">
        <v>1</v>
      </c>
      <c r="G146" t="n">
        <v>0</v>
      </c>
      <c r="H146">
        <f>AVERAGE(D4984:G4984)</f>
        <v/>
      </c>
    </row>
    <row r="147">
      <c r="A147" t="inlineStr">
        <is>
          <t>31684425</t>
        </is>
      </c>
      <c r="B147" t="inlineStr">
        <is>
          <t>PRODUCTO A4ECD1</t>
        </is>
      </c>
      <c r="C147" t="inlineStr">
        <is>
          <t>Jockey Plaza</t>
        </is>
      </c>
      <c r="D147" t="n">
        <v>1</v>
      </c>
      <c r="E147" t="n">
        <v>0</v>
      </c>
      <c r="F147" t="n">
        <v>1</v>
      </c>
      <c r="G147" t="n">
        <v>1</v>
      </c>
      <c r="H147">
        <f>AVERAGE(D5008:G5008)</f>
        <v/>
      </c>
    </row>
    <row r="148">
      <c r="A148" t="inlineStr">
        <is>
          <t>31684425</t>
        </is>
      </c>
      <c r="B148" t="inlineStr">
        <is>
          <t>PRODUCTO A4ECD1</t>
        </is>
      </c>
      <c r="C148" t="inlineStr">
        <is>
          <t>San Miguel</t>
        </is>
      </c>
      <c r="D148" t="n">
        <v>0</v>
      </c>
      <c r="E148" t="n">
        <v>0</v>
      </c>
      <c r="F148" t="n">
        <v>0</v>
      </c>
      <c r="G148" t="n">
        <v>0</v>
      </c>
      <c r="H148">
        <f>AVERAGE(D5009:G5009)</f>
        <v/>
      </c>
    </row>
    <row r="149">
      <c r="A149" t="inlineStr">
        <is>
          <t>31684425</t>
        </is>
      </c>
      <c r="B149" t="inlineStr">
        <is>
          <t>PRODUCTO A4ECD1</t>
        </is>
      </c>
      <c r="C149" t="inlineStr">
        <is>
          <t>Miraflores</t>
        </is>
      </c>
      <c r="D149" t="n">
        <v>5</v>
      </c>
      <c r="E149" t="n">
        <v>2</v>
      </c>
      <c r="F149" t="n">
        <v>4</v>
      </c>
      <c r="G149" t="n">
        <v>3</v>
      </c>
      <c r="H149">
        <f>AVERAGE(D5010:G5010)</f>
        <v/>
      </c>
    </row>
    <row r="150">
      <c r="A150" t="inlineStr">
        <is>
          <t>31684425</t>
        </is>
      </c>
      <c r="B150" t="inlineStr">
        <is>
          <t>PRODUCTO A4ECD1</t>
        </is>
      </c>
      <c r="C150" t="inlineStr">
        <is>
          <t>Salaverry</t>
        </is>
      </c>
      <c r="D150" t="n">
        <v>2</v>
      </c>
      <c r="E150" t="n">
        <v>1</v>
      </c>
      <c r="F150" t="n">
        <v>2</v>
      </c>
      <c r="G150" t="n">
        <v>1</v>
      </c>
      <c r="H150">
        <f>AVERAGE(D5017:G5017)</f>
        <v/>
      </c>
    </row>
    <row r="151">
      <c r="A151" t="inlineStr">
        <is>
          <t>31684425</t>
        </is>
      </c>
      <c r="B151" t="inlineStr">
        <is>
          <t>PRODUCTO A4ECD1</t>
        </is>
      </c>
      <c r="C151" t="inlineStr">
        <is>
          <t>San Borja</t>
        </is>
      </c>
      <c r="D151" t="n">
        <v>1</v>
      </c>
      <c r="E151" t="n">
        <v>0</v>
      </c>
      <c r="F151" t="n">
        <v>1</v>
      </c>
      <c r="G151" t="n">
        <v>1</v>
      </c>
      <c r="H151">
        <f>AVERAGE(D5018:G5018)</f>
        <v/>
      </c>
    </row>
    <row r="152">
      <c r="A152" t="inlineStr">
        <is>
          <t>31684425</t>
        </is>
      </c>
      <c r="B152" t="inlineStr">
        <is>
          <t>PRODUCTO A4ECD1</t>
        </is>
      </c>
      <c r="C152" t="inlineStr">
        <is>
          <t>Piura</t>
        </is>
      </c>
      <c r="D152" t="n">
        <v>1</v>
      </c>
      <c r="E152" t="n">
        <v>0</v>
      </c>
      <c r="F152" t="n">
        <v>1</v>
      </c>
      <c r="G152" t="n">
        <v>1</v>
      </c>
      <c r="H152">
        <f>AVERAGE(D5020:G5020)</f>
        <v/>
      </c>
    </row>
    <row r="153">
      <c r="A153" t="inlineStr">
        <is>
          <t>32912976</t>
        </is>
      </c>
      <c r="B153" t="inlineStr">
        <is>
          <t>PRODUCTO AA4CBC</t>
        </is>
      </c>
      <c r="C153" t="inlineStr">
        <is>
          <t>Jockey Plaza</t>
        </is>
      </c>
      <c r="D153" t="n">
        <v>0</v>
      </c>
      <c r="E153" t="n">
        <v>0</v>
      </c>
      <c r="F153" t="n">
        <v>0</v>
      </c>
      <c r="G153" t="n">
        <v>0</v>
      </c>
      <c r="H153">
        <f>AVERAGE(D5172:G5172)</f>
        <v/>
      </c>
    </row>
    <row r="154">
      <c r="A154" t="inlineStr">
        <is>
          <t>32912976</t>
        </is>
      </c>
      <c r="B154" t="inlineStr">
        <is>
          <t>PRODUCTO AA4CBC</t>
        </is>
      </c>
      <c r="C154" t="inlineStr">
        <is>
          <t>San Miguel</t>
        </is>
      </c>
      <c r="D154" t="n">
        <v>0</v>
      </c>
      <c r="E154" t="n">
        <v>0</v>
      </c>
      <c r="F154" t="n">
        <v>0</v>
      </c>
      <c r="G154" t="n">
        <v>0</v>
      </c>
      <c r="H154">
        <f>AVERAGE(D5173:G5173)</f>
        <v/>
      </c>
    </row>
    <row r="155">
      <c r="A155" t="inlineStr">
        <is>
          <t>32912976</t>
        </is>
      </c>
      <c r="B155" t="inlineStr">
        <is>
          <t>PRODUCTO AA4CBC</t>
        </is>
      </c>
      <c r="C155" t="inlineStr">
        <is>
          <t>Miraflores</t>
        </is>
      </c>
      <c r="D155" t="n">
        <v>0</v>
      </c>
      <c r="E155" t="n">
        <v>0</v>
      </c>
      <c r="F155" t="n">
        <v>0</v>
      </c>
      <c r="G155" t="n">
        <v>0</v>
      </c>
      <c r="H155">
        <f>AVERAGE(D5174:G5174)</f>
        <v/>
      </c>
    </row>
    <row r="156">
      <c r="A156" t="inlineStr">
        <is>
          <t>32912976</t>
        </is>
      </c>
      <c r="B156" t="inlineStr">
        <is>
          <t>PRODUCTO AA4CBC</t>
        </is>
      </c>
      <c r="C156" t="inlineStr">
        <is>
          <t>Salaverry</t>
        </is>
      </c>
      <c r="D156" t="n">
        <v>0</v>
      </c>
      <c r="E156" t="n">
        <v>0</v>
      </c>
      <c r="F156" t="n">
        <v>0</v>
      </c>
      <c r="G156" t="n">
        <v>0</v>
      </c>
      <c r="H156">
        <f>AVERAGE(D5181:G5181)</f>
        <v/>
      </c>
    </row>
    <row r="157">
      <c r="A157" t="inlineStr">
        <is>
          <t>32912976</t>
        </is>
      </c>
      <c r="B157" t="inlineStr">
        <is>
          <t>PRODUCTO AA4CBC</t>
        </is>
      </c>
      <c r="C157" t="inlineStr">
        <is>
          <t>San Borja</t>
        </is>
      </c>
      <c r="D157" t="n">
        <v>0</v>
      </c>
      <c r="E157" t="n">
        <v>0</v>
      </c>
      <c r="F157" t="n">
        <v>0</v>
      </c>
      <c r="G157" t="n">
        <v>0</v>
      </c>
      <c r="H157">
        <f>AVERAGE(D5182:G5182)</f>
        <v/>
      </c>
    </row>
    <row r="158">
      <c r="A158" t="inlineStr">
        <is>
          <t>32912976</t>
        </is>
      </c>
      <c r="B158" t="inlineStr">
        <is>
          <t>PRODUCTO AA4CBC</t>
        </is>
      </c>
      <c r="C158" t="inlineStr">
        <is>
          <t>Piura</t>
        </is>
      </c>
      <c r="D158" t="n">
        <v>0</v>
      </c>
      <c r="E158" t="n">
        <v>0</v>
      </c>
      <c r="F158" t="n">
        <v>0</v>
      </c>
      <c r="G158" t="n">
        <v>0</v>
      </c>
      <c r="H158">
        <f>AVERAGE(D5184:G5184)</f>
        <v/>
      </c>
    </row>
    <row r="159">
      <c r="A159" t="inlineStr">
        <is>
          <t>32912981</t>
        </is>
      </c>
      <c r="B159" t="inlineStr">
        <is>
          <t>PRODUCTO 99EEEF</t>
        </is>
      </c>
      <c r="C159" t="inlineStr">
        <is>
          <t>Jockey Plaza</t>
        </is>
      </c>
      <c r="D159" t="n">
        <v>1</v>
      </c>
      <c r="E159" t="n">
        <v>0</v>
      </c>
      <c r="F159" t="n">
        <v>1</v>
      </c>
      <c r="G159" t="n">
        <v>1</v>
      </c>
      <c r="H159">
        <f>AVERAGE(D5188:G5188)</f>
        <v/>
      </c>
    </row>
    <row r="160">
      <c r="A160" t="inlineStr">
        <is>
          <t>32912981</t>
        </is>
      </c>
      <c r="B160" t="inlineStr">
        <is>
          <t>PRODUCTO 99EEEF</t>
        </is>
      </c>
      <c r="C160" t="inlineStr">
        <is>
          <t>San Miguel</t>
        </is>
      </c>
      <c r="D160" t="n">
        <v>0</v>
      </c>
      <c r="E160" t="n">
        <v>0</v>
      </c>
      <c r="F160" t="n">
        <v>0</v>
      </c>
      <c r="G160" t="n">
        <v>0</v>
      </c>
      <c r="H160">
        <f>AVERAGE(D5189:G5189)</f>
        <v/>
      </c>
    </row>
    <row r="161">
      <c r="A161" t="inlineStr">
        <is>
          <t>32912981</t>
        </is>
      </c>
      <c r="B161" t="inlineStr">
        <is>
          <t>PRODUCTO 99EEEF</t>
        </is>
      </c>
      <c r="C161" t="inlineStr">
        <is>
          <t>Miraflores</t>
        </is>
      </c>
      <c r="D161" t="n">
        <v>0</v>
      </c>
      <c r="E161" t="n">
        <v>0</v>
      </c>
      <c r="F161" t="n">
        <v>0</v>
      </c>
      <c r="G161" t="n">
        <v>0</v>
      </c>
      <c r="H161">
        <f>AVERAGE(D5190:G5190)</f>
        <v/>
      </c>
    </row>
    <row r="162">
      <c r="A162" t="inlineStr">
        <is>
          <t>32912981</t>
        </is>
      </c>
      <c r="B162" t="inlineStr">
        <is>
          <t>PRODUCTO 99EEEF</t>
        </is>
      </c>
      <c r="C162" t="inlineStr">
        <is>
          <t>Salaverry</t>
        </is>
      </c>
      <c r="D162" t="n">
        <v>0</v>
      </c>
      <c r="E162" t="n">
        <v>0</v>
      </c>
      <c r="F162" t="n">
        <v>0</v>
      </c>
      <c r="G162" t="n">
        <v>0</v>
      </c>
      <c r="H162">
        <f>AVERAGE(D5197:G5197)</f>
        <v/>
      </c>
    </row>
    <row r="163">
      <c r="A163" t="inlineStr">
        <is>
          <t>32912981</t>
        </is>
      </c>
      <c r="B163" t="inlineStr">
        <is>
          <t>PRODUCTO 99EEEF</t>
        </is>
      </c>
      <c r="C163" t="inlineStr">
        <is>
          <t>San Borja</t>
        </is>
      </c>
      <c r="D163" t="n">
        <v>0</v>
      </c>
      <c r="E163" t="n">
        <v>0</v>
      </c>
      <c r="F163" t="n">
        <v>0</v>
      </c>
      <c r="G163" t="n">
        <v>0</v>
      </c>
      <c r="H163">
        <f>AVERAGE(D5198:G5198)</f>
        <v/>
      </c>
    </row>
    <row r="164">
      <c r="A164" t="inlineStr">
        <is>
          <t>32912981</t>
        </is>
      </c>
      <c r="B164" t="inlineStr">
        <is>
          <t>PRODUCTO 99EEEF</t>
        </is>
      </c>
      <c r="C164" t="inlineStr">
        <is>
          <t>Piura</t>
        </is>
      </c>
      <c r="D164" t="n">
        <v>3</v>
      </c>
      <c r="E164" t="n">
        <v>1</v>
      </c>
      <c r="F164" t="n">
        <v>2</v>
      </c>
      <c r="G164" t="n">
        <v>2</v>
      </c>
      <c r="H164">
        <f>AVERAGE(D5201:G5201)</f>
        <v/>
      </c>
    </row>
    <row r="165">
      <c r="A165" t="inlineStr">
        <is>
          <t>32912996</t>
        </is>
      </c>
      <c r="B165" t="inlineStr">
        <is>
          <t>PRODUCTO AAF574</t>
        </is>
      </c>
      <c r="C165" t="inlineStr">
        <is>
          <t>Jockey Plaza</t>
        </is>
      </c>
      <c r="D165" t="n">
        <v>2</v>
      </c>
      <c r="E165" t="n">
        <v>0</v>
      </c>
      <c r="F165" t="n">
        <v>1</v>
      </c>
      <c r="G165" t="n">
        <v>1</v>
      </c>
      <c r="H165">
        <f>AVERAGE(D5239:G5239)</f>
        <v/>
      </c>
    </row>
    <row r="166">
      <c r="A166" t="inlineStr">
        <is>
          <t>32912996</t>
        </is>
      </c>
      <c r="B166" t="inlineStr">
        <is>
          <t>PRODUCTO AAF574</t>
        </is>
      </c>
      <c r="C166" t="inlineStr">
        <is>
          <t>San Miguel</t>
        </is>
      </c>
      <c r="D166" t="n">
        <v>2</v>
      </c>
      <c r="E166" t="n">
        <v>0</v>
      </c>
      <c r="F166" t="n">
        <v>1</v>
      </c>
      <c r="G166" t="n">
        <v>1</v>
      </c>
      <c r="H166">
        <f>AVERAGE(D5240:G5240)</f>
        <v/>
      </c>
    </row>
    <row r="167">
      <c r="A167" t="inlineStr">
        <is>
          <t>32912996</t>
        </is>
      </c>
      <c r="B167" t="inlineStr">
        <is>
          <t>PRODUCTO AAF574</t>
        </is>
      </c>
      <c r="C167" t="inlineStr">
        <is>
          <t>Miraflores</t>
        </is>
      </c>
      <c r="D167" t="n">
        <v>1</v>
      </c>
      <c r="E167" t="n">
        <v>0</v>
      </c>
      <c r="F167" t="n">
        <v>1</v>
      </c>
      <c r="G167" t="n">
        <v>0</v>
      </c>
      <c r="H167">
        <f>AVERAGE(D5241:G5241)</f>
        <v/>
      </c>
    </row>
    <row r="168">
      <c r="A168" t="inlineStr">
        <is>
          <t>32912996</t>
        </is>
      </c>
      <c r="B168" t="inlineStr">
        <is>
          <t>PRODUCTO AAF574</t>
        </is>
      </c>
      <c r="C168" t="inlineStr">
        <is>
          <t>Salaverry</t>
        </is>
      </c>
      <c r="D168" t="n">
        <v>0</v>
      </c>
      <c r="E168" t="n">
        <v>0</v>
      </c>
      <c r="F168" t="n">
        <v>0</v>
      </c>
      <c r="G168" t="n">
        <v>0</v>
      </c>
      <c r="H168">
        <f>AVERAGE(D5249:G5249)</f>
        <v/>
      </c>
    </row>
    <row r="169">
      <c r="A169" t="inlineStr">
        <is>
          <t>32912996</t>
        </is>
      </c>
      <c r="B169" t="inlineStr">
        <is>
          <t>PRODUCTO AAF574</t>
        </is>
      </c>
      <c r="C169" t="inlineStr">
        <is>
          <t>San Borja</t>
        </is>
      </c>
      <c r="D169" t="n">
        <v>1</v>
      </c>
      <c r="E169" t="n">
        <v>0</v>
      </c>
      <c r="F169" t="n">
        <v>1</v>
      </c>
      <c r="G169" t="n">
        <v>0</v>
      </c>
      <c r="H169">
        <f>AVERAGE(D5250:G5250)</f>
        <v/>
      </c>
    </row>
    <row r="170">
      <c r="A170" t="inlineStr">
        <is>
          <t>32912996</t>
        </is>
      </c>
      <c r="B170" t="inlineStr">
        <is>
          <t>PRODUCTO AAF574</t>
        </is>
      </c>
      <c r="C170" t="inlineStr">
        <is>
          <t>Piura</t>
        </is>
      </c>
      <c r="D170" t="n">
        <v>0</v>
      </c>
      <c r="E170" t="n">
        <v>0</v>
      </c>
      <c r="F170" t="n">
        <v>0</v>
      </c>
      <c r="G170" t="n">
        <v>0</v>
      </c>
      <c r="H170">
        <f>AVERAGE(D5252:G5252)</f>
        <v/>
      </c>
    </row>
    <row r="171">
      <c r="A171" t="inlineStr">
        <is>
          <t>32913007</t>
        </is>
      </c>
      <c r="B171" t="inlineStr">
        <is>
          <t>PRODUCTO CADEEF</t>
        </is>
      </c>
      <c r="C171" t="inlineStr">
        <is>
          <t>Jockey Plaza</t>
        </is>
      </c>
      <c r="D171" t="n">
        <v>2</v>
      </c>
      <c r="E171" t="n">
        <v>0</v>
      </c>
      <c r="F171" t="n">
        <v>1</v>
      </c>
      <c r="G171" t="n">
        <v>2</v>
      </c>
      <c r="H171">
        <f>AVERAGE(D5277:G5277)</f>
        <v/>
      </c>
    </row>
    <row r="172">
      <c r="A172" t="inlineStr">
        <is>
          <t>32913007</t>
        </is>
      </c>
      <c r="B172" t="inlineStr">
        <is>
          <t>PRODUCTO CADEEF</t>
        </is>
      </c>
      <c r="C172" t="inlineStr">
        <is>
          <t>San Miguel</t>
        </is>
      </c>
      <c r="D172" t="n">
        <v>0</v>
      </c>
      <c r="E172" t="n">
        <v>0</v>
      </c>
      <c r="F172" t="n">
        <v>0</v>
      </c>
      <c r="G172" t="n">
        <v>0</v>
      </c>
      <c r="H172">
        <f>AVERAGE(D5278:G5278)</f>
        <v/>
      </c>
    </row>
    <row r="173">
      <c r="A173" t="inlineStr">
        <is>
          <t>32913007</t>
        </is>
      </c>
      <c r="B173" t="inlineStr">
        <is>
          <t>PRODUCTO CADEEF</t>
        </is>
      </c>
      <c r="C173" t="inlineStr">
        <is>
          <t>Miraflores</t>
        </is>
      </c>
      <c r="D173" t="n">
        <v>1</v>
      </c>
      <c r="E173" t="n">
        <v>0</v>
      </c>
      <c r="F173" t="n">
        <v>1</v>
      </c>
      <c r="G173" t="n">
        <v>1</v>
      </c>
      <c r="H173">
        <f>AVERAGE(D5279:G5279)</f>
        <v/>
      </c>
    </row>
    <row r="174">
      <c r="A174" t="inlineStr">
        <is>
          <t>32913007</t>
        </is>
      </c>
      <c r="B174" t="inlineStr">
        <is>
          <t>PRODUCTO CADEEF</t>
        </is>
      </c>
      <c r="C174" t="inlineStr">
        <is>
          <t>Salaverry</t>
        </is>
      </c>
      <c r="D174" t="n">
        <v>0</v>
      </c>
      <c r="E174" t="n">
        <v>0</v>
      </c>
      <c r="F174" t="n">
        <v>0</v>
      </c>
      <c r="G174" t="n">
        <v>0</v>
      </c>
      <c r="H174">
        <f>AVERAGE(D5287:G5287)</f>
        <v/>
      </c>
    </row>
    <row r="175">
      <c r="A175" t="inlineStr">
        <is>
          <t>32913007</t>
        </is>
      </c>
      <c r="B175" t="inlineStr">
        <is>
          <t>PRODUCTO CADEEF</t>
        </is>
      </c>
      <c r="C175" t="inlineStr">
        <is>
          <t>San Borja</t>
        </is>
      </c>
      <c r="D175" t="n">
        <v>1</v>
      </c>
      <c r="E175" t="n">
        <v>0</v>
      </c>
      <c r="F175" t="n">
        <v>1</v>
      </c>
      <c r="G175" t="n">
        <v>1</v>
      </c>
      <c r="H175">
        <f>AVERAGE(D5288:G5288)</f>
        <v/>
      </c>
    </row>
    <row r="176">
      <c r="A176" t="inlineStr">
        <is>
          <t>32913007</t>
        </is>
      </c>
      <c r="B176" t="inlineStr">
        <is>
          <t>PRODUCTO CADEEF</t>
        </is>
      </c>
      <c r="C176" t="inlineStr">
        <is>
          <t>Piura</t>
        </is>
      </c>
      <c r="D176" t="n">
        <v>1</v>
      </c>
      <c r="E176" t="n">
        <v>0</v>
      </c>
      <c r="F176" t="n">
        <v>1</v>
      </c>
      <c r="G176" t="n">
        <v>1</v>
      </c>
      <c r="H176">
        <f>AVERAGE(D5290:G5290)</f>
        <v/>
      </c>
    </row>
    <row r="177">
      <c r="A177" t="inlineStr">
        <is>
          <t>35730652</t>
        </is>
      </c>
      <c r="B177" t="inlineStr">
        <is>
          <t>PRODUCTO 88CC30</t>
        </is>
      </c>
      <c r="C177" t="inlineStr">
        <is>
          <t>Miraflores</t>
        </is>
      </c>
      <c r="D177" t="n">
        <v>0</v>
      </c>
      <c r="E177" t="n">
        <v>0</v>
      </c>
      <c r="F177" t="n">
        <v>0</v>
      </c>
      <c r="G177" t="n">
        <v>0</v>
      </c>
      <c r="H177">
        <f>AVERAGE(D5559:G5559)</f>
        <v/>
      </c>
    </row>
    <row r="178">
      <c r="A178" t="inlineStr">
        <is>
          <t>35730658</t>
        </is>
      </c>
      <c r="B178" t="inlineStr">
        <is>
          <t>PRODUCTO 8EA7D1</t>
        </is>
      </c>
      <c r="C178" t="inlineStr">
        <is>
          <t>San Miguel</t>
        </is>
      </c>
      <c r="D178" t="n">
        <v>0</v>
      </c>
      <c r="E178" t="n">
        <v>0</v>
      </c>
      <c r="F178" t="n">
        <v>0</v>
      </c>
      <c r="G178" t="n">
        <v>0</v>
      </c>
      <c r="H178">
        <f>AVERAGE(D5560:G5560)</f>
        <v/>
      </c>
    </row>
    <row r="179">
      <c r="A179" t="inlineStr">
        <is>
          <t>35730658</t>
        </is>
      </c>
      <c r="B179" t="inlineStr">
        <is>
          <t>PRODUCTO 8EA7D1</t>
        </is>
      </c>
      <c r="C179" t="inlineStr">
        <is>
          <t>Miraflores</t>
        </is>
      </c>
      <c r="D179" t="n">
        <v>0</v>
      </c>
      <c r="E179" t="n">
        <v>0</v>
      </c>
      <c r="F179" t="n">
        <v>0</v>
      </c>
      <c r="G179" t="n">
        <v>0</v>
      </c>
      <c r="H179">
        <f>AVERAGE(D5561:G5561)</f>
        <v/>
      </c>
    </row>
    <row r="180">
      <c r="A180" t="inlineStr">
        <is>
          <t>35730658</t>
        </is>
      </c>
      <c r="B180" t="inlineStr">
        <is>
          <t>PRODUCTO 8EA7D1</t>
        </is>
      </c>
      <c r="C180" t="inlineStr">
        <is>
          <t>Salaverry</t>
        </is>
      </c>
      <c r="D180" t="n">
        <v>0</v>
      </c>
      <c r="E180" t="n">
        <v>0</v>
      </c>
      <c r="F180" t="n">
        <v>0</v>
      </c>
      <c r="G180" t="n">
        <v>0</v>
      </c>
      <c r="H180">
        <f>AVERAGE(D5563:G5563)</f>
        <v/>
      </c>
    </row>
    <row r="181">
      <c r="A181" t="inlineStr">
        <is>
          <t>35730658</t>
        </is>
      </c>
      <c r="B181" t="inlineStr">
        <is>
          <t>PRODUCTO 8EA7D1</t>
        </is>
      </c>
      <c r="C181" t="inlineStr">
        <is>
          <t>San Borja</t>
        </is>
      </c>
      <c r="D181" t="n">
        <v>0</v>
      </c>
      <c r="E181" t="n">
        <v>0</v>
      </c>
      <c r="F181" t="n">
        <v>0</v>
      </c>
      <c r="G181" t="n">
        <v>0</v>
      </c>
      <c r="H181">
        <f>AVERAGE(D5564:G5564)</f>
        <v/>
      </c>
    </row>
    <row r="182">
      <c r="A182" t="inlineStr">
        <is>
          <t>35937998</t>
        </is>
      </c>
      <c r="B182" t="inlineStr">
        <is>
          <t>PRODUCTO 52839B</t>
        </is>
      </c>
      <c r="C182" t="inlineStr">
        <is>
          <t>San Miguel</t>
        </is>
      </c>
      <c r="D182" t="n">
        <v>0</v>
      </c>
      <c r="E182" t="n">
        <v>0</v>
      </c>
      <c r="F182" t="n">
        <v>0</v>
      </c>
      <c r="G182" t="n">
        <v>0</v>
      </c>
      <c r="H182">
        <f>AVERAGE(D5598:G5598)</f>
        <v/>
      </c>
    </row>
    <row r="183">
      <c r="A183" t="inlineStr">
        <is>
          <t>35937998</t>
        </is>
      </c>
      <c r="B183" t="inlineStr">
        <is>
          <t>PRODUCTO 52839B</t>
        </is>
      </c>
      <c r="C183" t="inlineStr">
        <is>
          <t>Miraflores</t>
        </is>
      </c>
      <c r="D183" t="n">
        <v>0</v>
      </c>
      <c r="E183" t="n">
        <v>0</v>
      </c>
      <c r="F183" t="n">
        <v>0</v>
      </c>
      <c r="G183" t="n">
        <v>0</v>
      </c>
      <c r="H183">
        <f>AVERAGE(D5599:G5599)</f>
        <v/>
      </c>
    </row>
    <row r="184">
      <c r="A184" t="inlineStr">
        <is>
          <t>36061195</t>
        </is>
      </c>
      <c r="B184" t="inlineStr">
        <is>
          <t>PRODUCTO E17A67</t>
        </is>
      </c>
      <c r="C184" t="inlineStr">
        <is>
          <t>Miraflores</t>
        </is>
      </c>
      <c r="D184" t="n">
        <v>0</v>
      </c>
      <c r="E184" t="n">
        <v>0</v>
      </c>
      <c r="F184" t="n">
        <v>0</v>
      </c>
      <c r="G184" t="n">
        <v>0</v>
      </c>
      <c r="H184">
        <f>AVERAGE(D5653:G5653)</f>
        <v/>
      </c>
    </row>
    <row r="185">
      <c r="A185" t="inlineStr">
        <is>
          <t>36061195</t>
        </is>
      </c>
      <c r="B185" t="inlineStr">
        <is>
          <t>PRODUCTO E17A67</t>
        </is>
      </c>
      <c r="C185" t="inlineStr">
        <is>
          <t>Salaverry</t>
        </is>
      </c>
      <c r="D185" t="n">
        <v>0</v>
      </c>
      <c r="E185" t="n">
        <v>0</v>
      </c>
      <c r="F185" t="n">
        <v>0</v>
      </c>
      <c r="G185" t="n">
        <v>0</v>
      </c>
      <c r="H185">
        <f>AVERAGE(D5655:G5655)</f>
        <v/>
      </c>
    </row>
    <row r="186">
      <c r="A186" t="inlineStr">
        <is>
          <t>36061195</t>
        </is>
      </c>
      <c r="B186" t="inlineStr">
        <is>
          <t>PRODUCTO E17A67</t>
        </is>
      </c>
      <c r="C186" t="inlineStr">
        <is>
          <t>San Borja</t>
        </is>
      </c>
      <c r="D186" t="n">
        <v>0</v>
      </c>
      <c r="E186" t="n">
        <v>0</v>
      </c>
      <c r="F186" t="n">
        <v>0</v>
      </c>
      <c r="G186" t="n">
        <v>0</v>
      </c>
      <c r="H186">
        <f>AVERAGE(D5656:G5656)</f>
        <v/>
      </c>
    </row>
    <row r="187">
      <c r="A187" t="inlineStr">
        <is>
          <t>36206622</t>
        </is>
      </c>
      <c r="B187" t="inlineStr">
        <is>
          <t>PRODUCTO 21B794</t>
        </is>
      </c>
      <c r="C187" t="inlineStr">
        <is>
          <t>Piura</t>
        </is>
      </c>
      <c r="D187" t="n">
        <v>1</v>
      </c>
      <c r="E187" t="n">
        <v>0</v>
      </c>
      <c r="F187" t="n">
        <v>0</v>
      </c>
      <c r="G187" t="n">
        <v>1</v>
      </c>
      <c r="H187">
        <f>AVERAGE(D5738:G5738)</f>
        <v/>
      </c>
    </row>
    <row r="188">
      <c r="A188" t="inlineStr">
        <is>
          <t>36206674</t>
        </is>
      </c>
      <c r="B188" t="inlineStr">
        <is>
          <t>PRODUCTO 87B612</t>
        </is>
      </c>
      <c r="C188" t="inlineStr">
        <is>
          <t>San Borja</t>
        </is>
      </c>
      <c r="D188" t="n">
        <v>0</v>
      </c>
      <c r="E188" t="n">
        <v>0</v>
      </c>
      <c r="F188" t="n">
        <v>0</v>
      </c>
      <c r="G188" t="n">
        <v>0</v>
      </c>
      <c r="H188">
        <f>AVERAGE(D5745:G5745)</f>
        <v/>
      </c>
    </row>
    <row r="189">
      <c r="A189" t="inlineStr">
        <is>
          <t>36206674</t>
        </is>
      </c>
      <c r="B189" t="inlineStr">
        <is>
          <t>PRODUCTO 87B612</t>
        </is>
      </c>
      <c r="C189" t="inlineStr">
        <is>
          <t>Piura</t>
        </is>
      </c>
      <c r="D189" t="n">
        <v>0</v>
      </c>
      <c r="E189" t="n">
        <v>0</v>
      </c>
      <c r="F189" t="n">
        <v>0</v>
      </c>
      <c r="G189" t="n">
        <v>0</v>
      </c>
      <c r="H189">
        <f>AVERAGE(D5746:G5746)</f>
        <v/>
      </c>
    </row>
    <row r="190">
      <c r="A190" t="inlineStr">
        <is>
          <t>36206695</t>
        </is>
      </c>
      <c r="B190" t="inlineStr">
        <is>
          <t>PRODUCTO 4CAA88</t>
        </is>
      </c>
      <c r="C190" t="inlineStr">
        <is>
          <t>Miraflores</t>
        </is>
      </c>
      <c r="D190" t="n">
        <v>0</v>
      </c>
      <c r="E190" t="n">
        <v>0</v>
      </c>
      <c r="F190" t="n">
        <v>0</v>
      </c>
      <c r="G190" t="n">
        <v>0</v>
      </c>
      <c r="H190">
        <f>AVERAGE(D5747:G5747)</f>
        <v/>
      </c>
    </row>
    <row r="191">
      <c r="A191" t="inlineStr">
        <is>
          <t>36206695</t>
        </is>
      </c>
      <c r="B191" t="inlineStr">
        <is>
          <t>PRODUCTO 4CAA88</t>
        </is>
      </c>
      <c r="C191" t="inlineStr">
        <is>
          <t>San Borja</t>
        </is>
      </c>
      <c r="D191" t="n">
        <v>0</v>
      </c>
      <c r="E191" t="n">
        <v>0</v>
      </c>
      <c r="F191" t="n">
        <v>0</v>
      </c>
      <c r="G191" t="n">
        <v>0</v>
      </c>
      <c r="H191">
        <f>AVERAGE(D5750:G5750)</f>
        <v/>
      </c>
    </row>
    <row r="192">
      <c r="A192" t="inlineStr">
        <is>
          <t>36206695</t>
        </is>
      </c>
      <c r="B192" t="inlineStr">
        <is>
          <t>PRODUCTO 4CAA88</t>
        </is>
      </c>
      <c r="C192" t="inlineStr">
        <is>
          <t>Piura</t>
        </is>
      </c>
      <c r="D192" t="n">
        <v>0</v>
      </c>
      <c r="E192" t="n">
        <v>0</v>
      </c>
      <c r="F192" t="n">
        <v>0</v>
      </c>
      <c r="G192" t="n">
        <v>0</v>
      </c>
      <c r="H192">
        <f>AVERAGE(D5751:G5751)</f>
        <v/>
      </c>
    </row>
    <row r="193">
      <c r="A193" t="inlineStr">
        <is>
          <t>36312835</t>
        </is>
      </c>
      <c r="B193" t="inlineStr">
        <is>
          <t>PRODUCTO EE8078</t>
        </is>
      </c>
      <c r="C193" t="inlineStr">
        <is>
          <t>Piura</t>
        </is>
      </c>
      <c r="D193" t="n">
        <v>0</v>
      </c>
      <c r="E193" t="n">
        <v>0</v>
      </c>
      <c r="F193" t="n">
        <v>0</v>
      </c>
      <c r="G193" t="n">
        <v>0</v>
      </c>
      <c r="H193">
        <f>AVERAGE(D5892:G5892)</f>
        <v/>
      </c>
    </row>
    <row r="194">
      <c r="A194" t="inlineStr">
        <is>
          <t>36313892</t>
        </is>
      </c>
      <c r="B194" t="inlineStr">
        <is>
          <t>PRODUCTO 274F10</t>
        </is>
      </c>
      <c r="C194" t="inlineStr">
        <is>
          <t>Salaverry</t>
        </is>
      </c>
      <c r="D194" t="n">
        <v>0</v>
      </c>
      <c r="E194" t="n">
        <v>0</v>
      </c>
      <c r="F194" t="n">
        <v>0</v>
      </c>
      <c r="G194" t="n">
        <v>0</v>
      </c>
      <c r="H194">
        <f>AVERAGE(D5911:G5911)</f>
        <v/>
      </c>
    </row>
    <row r="195">
      <c r="A195" t="inlineStr">
        <is>
          <t>36313892</t>
        </is>
      </c>
      <c r="B195" t="inlineStr">
        <is>
          <t>PRODUCTO 274F10</t>
        </is>
      </c>
      <c r="C195" t="inlineStr">
        <is>
          <t>San Borja</t>
        </is>
      </c>
      <c r="D195" t="n">
        <v>0</v>
      </c>
      <c r="E195" t="n">
        <v>0</v>
      </c>
      <c r="F195" t="n">
        <v>0</v>
      </c>
      <c r="G195" t="n">
        <v>0</v>
      </c>
      <c r="H195">
        <f>AVERAGE(D5912:G5912)</f>
        <v/>
      </c>
    </row>
    <row r="196">
      <c r="A196" t="inlineStr">
        <is>
          <t>36313892</t>
        </is>
      </c>
      <c r="B196" t="inlineStr">
        <is>
          <t>PRODUCTO 274F10</t>
        </is>
      </c>
      <c r="C196" t="inlineStr">
        <is>
          <t>Piura</t>
        </is>
      </c>
      <c r="D196" t="n">
        <v>0</v>
      </c>
      <c r="E196" t="n">
        <v>0</v>
      </c>
      <c r="F196" t="n">
        <v>0</v>
      </c>
      <c r="G196" t="n">
        <v>0</v>
      </c>
      <c r="H196">
        <f>AVERAGE(D5913:G5913)</f>
        <v/>
      </c>
    </row>
    <row r="197">
      <c r="A197" t="inlineStr">
        <is>
          <t>36315468</t>
        </is>
      </c>
      <c r="B197" t="inlineStr">
        <is>
          <t>PRODUCTO 6930DE</t>
        </is>
      </c>
      <c r="C197" t="inlineStr">
        <is>
          <t>Piura</t>
        </is>
      </c>
      <c r="D197" t="n">
        <v>0</v>
      </c>
      <c r="E197" t="n">
        <v>0</v>
      </c>
      <c r="F197" t="n">
        <v>0</v>
      </c>
      <c r="G197" t="n">
        <v>0</v>
      </c>
      <c r="H197">
        <f>AVERAGE(D5927:G5927)</f>
        <v/>
      </c>
    </row>
    <row r="198">
      <c r="A198" t="inlineStr">
        <is>
          <t>36327969</t>
        </is>
      </c>
      <c r="B198" t="inlineStr">
        <is>
          <t>PRODUCTO 1E50F0</t>
        </is>
      </c>
      <c r="C198" t="inlineStr">
        <is>
          <t>Jockey Plaza</t>
        </is>
      </c>
      <c r="D198" t="n">
        <v>1</v>
      </c>
      <c r="E198" t="n">
        <v>1</v>
      </c>
      <c r="F198" t="n">
        <v>0</v>
      </c>
      <c r="G198" t="n">
        <v>0</v>
      </c>
      <c r="H198">
        <f>AVERAGE(D5940:G5940)</f>
        <v/>
      </c>
    </row>
    <row r="199">
      <c r="A199" t="inlineStr">
        <is>
          <t>36327969</t>
        </is>
      </c>
      <c r="B199" t="inlineStr">
        <is>
          <t>PRODUCTO 1E50F0</t>
        </is>
      </c>
      <c r="C199" t="inlineStr">
        <is>
          <t>San Miguel</t>
        </is>
      </c>
      <c r="D199" t="n">
        <v>2</v>
      </c>
      <c r="E199" t="n">
        <v>3</v>
      </c>
      <c r="F199" t="n">
        <v>0</v>
      </c>
      <c r="G199" t="n">
        <v>0</v>
      </c>
      <c r="H199">
        <f>AVERAGE(D5941:G5941)</f>
        <v/>
      </c>
    </row>
    <row r="200">
      <c r="A200" t="inlineStr">
        <is>
          <t>36327969</t>
        </is>
      </c>
      <c r="B200" t="inlineStr">
        <is>
          <t>PRODUCTO 1E50F0</t>
        </is>
      </c>
      <c r="C200" t="inlineStr">
        <is>
          <t>Miraflores</t>
        </is>
      </c>
      <c r="D200" t="n">
        <v>0</v>
      </c>
      <c r="E200" t="n">
        <v>0</v>
      </c>
      <c r="F200" t="n">
        <v>0</v>
      </c>
      <c r="G200" t="n">
        <v>0</v>
      </c>
      <c r="H200">
        <f>AVERAGE(D5942:G5942)</f>
        <v/>
      </c>
    </row>
    <row r="201">
      <c r="A201" t="inlineStr">
        <is>
          <t>36327969</t>
        </is>
      </c>
      <c r="B201" t="inlineStr">
        <is>
          <t>PRODUCTO 1E50F0</t>
        </is>
      </c>
      <c r="C201" t="inlineStr">
        <is>
          <t>Salaverry</t>
        </is>
      </c>
      <c r="D201" t="n">
        <v>0</v>
      </c>
      <c r="E201" t="n">
        <v>0</v>
      </c>
      <c r="F201" t="n">
        <v>0</v>
      </c>
      <c r="G201" t="n">
        <v>0</v>
      </c>
      <c r="H201">
        <f>AVERAGE(D5944:G5944)</f>
        <v/>
      </c>
    </row>
    <row r="202">
      <c r="A202" t="inlineStr">
        <is>
          <t>36327969</t>
        </is>
      </c>
      <c r="B202" t="inlineStr">
        <is>
          <t>PRODUCTO 1E50F0</t>
        </is>
      </c>
      <c r="C202" t="inlineStr">
        <is>
          <t>San Borja</t>
        </is>
      </c>
      <c r="D202" t="n">
        <v>0</v>
      </c>
      <c r="E202" t="n">
        <v>0</v>
      </c>
      <c r="F202" t="n">
        <v>0</v>
      </c>
      <c r="G202" t="n">
        <v>0</v>
      </c>
      <c r="H202">
        <f>AVERAGE(D5945:G5945)</f>
        <v/>
      </c>
    </row>
    <row r="203">
      <c r="A203" t="inlineStr">
        <is>
          <t>36346263</t>
        </is>
      </c>
      <c r="B203" t="inlineStr">
        <is>
          <t>PRODUCTO FE136B</t>
        </is>
      </c>
      <c r="C203" t="inlineStr">
        <is>
          <t>Jockey Plaza</t>
        </is>
      </c>
      <c r="D203" t="n">
        <v>0</v>
      </c>
      <c r="E203" t="n">
        <v>0</v>
      </c>
      <c r="F203" t="n">
        <v>0</v>
      </c>
      <c r="G203" t="n">
        <v>0</v>
      </c>
      <c r="H203">
        <f>AVERAGE(D5983:G5983)</f>
        <v/>
      </c>
    </row>
    <row r="204">
      <c r="A204" t="inlineStr">
        <is>
          <t>36346263</t>
        </is>
      </c>
      <c r="B204" t="inlineStr">
        <is>
          <t>PRODUCTO FE136B</t>
        </is>
      </c>
      <c r="C204" t="inlineStr">
        <is>
          <t>San Borja</t>
        </is>
      </c>
      <c r="D204" t="n">
        <v>0</v>
      </c>
      <c r="E204" t="n">
        <v>0</v>
      </c>
      <c r="F204" t="n">
        <v>0</v>
      </c>
      <c r="G204" t="n">
        <v>0</v>
      </c>
      <c r="H204">
        <f>AVERAGE(D5986:G5986)</f>
        <v/>
      </c>
    </row>
    <row r="205">
      <c r="A205" t="inlineStr">
        <is>
          <t>36346315</t>
        </is>
      </c>
      <c r="B205" t="inlineStr">
        <is>
          <t>PRODUCTO F4C53C</t>
        </is>
      </c>
      <c r="C205" t="inlineStr">
        <is>
          <t>Jockey Plaza</t>
        </is>
      </c>
      <c r="D205" t="n">
        <v>0</v>
      </c>
      <c r="E205" t="n">
        <v>0</v>
      </c>
      <c r="F205" t="n">
        <v>0</v>
      </c>
      <c r="G205" t="n">
        <v>0</v>
      </c>
      <c r="H205">
        <f>AVERAGE(D6027:G6027)</f>
        <v/>
      </c>
    </row>
    <row r="206">
      <c r="A206" t="inlineStr">
        <is>
          <t>36346315</t>
        </is>
      </c>
      <c r="B206" t="inlineStr">
        <is>
          <t>PRODUCTO F4C53C</t>
        </is>
      </c>
      <c r="C206" t="inlineStr">
        <is>
          <t>Miraflores</t>
        </is>
      </c>
      <c r="D206" t="n">
        <v>0</v>
      </c>
      <c r="E206" t="n">
        <v>0</v>
      </c>
      <c r="F206" t="n">
        <v>0</v>
      </c>
      <c r="G206" t="n">
        <v>0</v>
      </c>
      <c r="H206">
        <f>AVERAGE(D6028:G6028)</f>
        <v/>
      </c>
    </row>
    <row r="207">
      <c r="A207" t="inlineStr">
        <is>
          <t>36349619</t>
        </is>
      </c>
      <c r="B207" t="inlineStr">
        <is>
          <t>PRODUCTO 99A0E6</t>
        </is>
      </c>
      <c r="C207" t="inlineStr">
        <is>
          <t>Jockey Plaza</t>
        </is>
      </c>
      <c r="D207" t="n">
        <v>0</v>
      </c>
      <c r="E207" t="n">
        <v>0</v>
      </c>
      <c r="F207" t="n">
        <v>0</v>
      </c>
      <c r="G207" t="n">
        <v>0</v>
      </c>
      <c r="H207">
        <f>AVERAGE(D6058:G6058)</f>
        <v/>
      </c>
    </row>
    <row r="208">
      <c r="A208" t="inlineStr">
        <is>
          <t>36349619</t>
        </is>
      </c>
      <c r="B208" t="inlineStr">
        <is>
          <t>PRODUCTO 99A0E6</t>
        </is>
      </c>
      <c r="C208" t="inlineStr">
        <is>
          <t>Miraflores</t>
        </is>
      </c>
      <c r="D208" t="n">
        <v>1</v>
      </c>
      <c r="E208" t="n">
        <v>1</v>
      </c>
      <c r="F208" t="n">
        <v>3</v>
      </c>
      <c r="G208" t="n">
        <v>2</v>
      </c>
      <c r="H208">
        <f>AVERAGE(D6059:G6059)</f>
        <v/>
      </c>
    </row>
    <row r="209">
      <c r="A209" t="inlineStr">
        <is>
          <t>36349619</t>
        </is>
      </c>
      <c r="B209" t="inlineStr">
        <is>
          <t>PRODUCTO 99A0E6</t>
        </is>
      </c>
      <c r="C209" t="inlineStr">
        <is>
          <t>Salaverry</t>
        </is>
      </c>
      <c r="D209" t="n">
        <v>0</v>
      </c>
      <c r="E209" t="n">
        <v>0</v>
      </c>
      <c r="F209" t="n">
        <v>0</v>
      </c>
      <c r="G209" t="n">
        <v>0</v>
      </c>
      <c r="H209">
        <f>AVERAGE(D6065:G6065)</f>
        <v/>
      </c>
    </row>
    <row r="210">
      <c r="A210" t="inlineStr">
        <is>
          <t>36349619</t>
        </is>
      </c>
      <c r="B210" t="inlineStr">
        <is>
          <t>PRODUCTO 99A0E6</t>
        </is>
      </c>
      <c r="C210" t="inlineStr">
        <is>
          <t>San Borja</t>
        </is>
      </c>
      <c r="D210" t="n">
        <v>0</v>
      </c>
      <c r="E210" t="n">
        <v>0</v>
      </c>
      <c r="F210" t="n">
        <v>0</v>
      </c>
      <c r="G210" t="n">
        <v>0</v>
      </c>
      <c r="H210">
        <f>AVERAGE(D6066:G6066)</f>
        <v/>
      </c>
    </row>
    <row r="211">
      <c r="A211" t="inlineStr">
        <is>
          <t>36349619</t>
        </is>
      </c>
      <c r="B211" t="inlineStr">
        <is>
          <t>PRODUCTO 99A0E6</t>
        </is>
      </c>
      <c r="C211" t="inlineStr">
        <is>
          <t>Piura</t>
        </is>
      </c>
      <c r="D211" t="n">
        <v>0</v>
      </c>
      <c r="E211" t="n">
        <v>0</v>
      </c>
      <c r="F211" t="n">
        <v>0</v>
      </c>
      <c r="G211" t="n">
        <v>0</v>
      </c>
      <c r="H211">
        <f>AVERAGE(D6068:G6068)</f>
        <v/>
      </c>
    </row>
    <row r="212">
      <c r="A212" t="inlineStr">
        <is>
          <t>36446423</t>
        </is>
      </c>
      <c r="B212" t="inlineStr">
        <is>
          <t>PRODUCTO E08DDE</t>
        </is>
      </c>
      <c r="C212" t="inlineStr">
        <is>
          <t>Piura</t>
        </is>
      </c>
      <c r="D212" t="n">
        <v>0</v>
      </c>
      <c r="E212" t="n">
        <v>0</v>
      </c>
      <c r="F212" t="n">
        <v>0</v>
      </c>
      <c r="G212" t="n">
        <v>0</v>
      </c>
      <c r="H212">
        <f>AVERAGE(D6149:G6149)</f>
        <v/>
      </c>
    </row>
    <row r="213">
      <c r="A213" t="inlineStr">
        <is>
          <t>36473367</t>
        </is>
      </c>
      <c r="B213" t="inlineStr">
        <is>
          <t>PRODUCTO 36C8CE</t>
        </is>
      </c>
      <c r="C213" t="inlineStr">
        <is>
          <t>Jockey Plaza</t>
        </is>
      </c>
      <c r="D213" t="n">
        <v>0</v>
      </c>
      <c r="E213" t="n">
        <v>0</v>
      </c>
      <c r="F213" t="n">
        <v>0</v>
      </c>
      <c r="G213" t="n">
        <v>0</v>
      </c>
      <c r="H213">
        <f>AVERAGE(D6163:G6163)</f>
        <v/>
      </c>
    </row>
    <row r="214">
      <c r="A214" t="inlineStr">
        <is>
          <t>36473367</t>
        </is>
      </c>
      <c r="B214" t="inlineStr">
        <is>
          <t>PRODUCTO 36C8CE</t>
        </is>
      </c>
      <c r="C214" t="inlineStr">
        <is>
          <t>San Borja</t>
        </is>
      </c>
      <c r="D214" t="n">
        <v>0</v>
      </c>
      <c r="E214" t="n">
        <v>0</v>
      </c>
      <c r="F214" t="n">
        <v>0</v>
      </c>
      <c r="G214" t="n">
        <v>0</v>
      </c>
      <c r="H214">
        <f>AVERAGE(D6172:G6172)</f>
        <v/>
      </c>
    </row>
    <row r="215">
      <c r="A215" t="inlineStr">
        <is>
          <t>36473367</t>
        </is>
      </c>
      <c r="B215" t="inlineStr">
        <is>
          <t>PRODUCTO 36C8CE</t>
        </is>
      </c>
      <c r="C215" t="inlineStr">
        <is>
          <t>Piura</t>
        </is>
      </c>
      <c r="D215" t="n">
        <v>1</v>
      </c>
      <c r="E215" t="n">
        <v>2</v>
      </c>
      <c r="F215" t="n">
        <v>2</v>
      </c>
      <c r="G215" t="n">
        <v>2</v>
      </c>
      <c r="H215">
        <f>AVERAGE(D6174:G6174)</f>
        <v/>
      </c>
    </row>
    <row r="216">
      <c r="A216" t="inlineStr">
        <is>
          <t>36473438</t>
        </is>
      </c>
      <c r="B216" t="inlineStr">
        <is>
          <t>PRODUCTO D58C50</t>
        </is>
      </c>
      <c r="C216" t="inlineStr">
        <is>
          <t>Jockey Plaza</t>
        </is>
      </c>
      <c r="D216" t="n">
        <v>0</v>
      </c>
      <c r="E216" t="n">
        <v>0</v>
      </c>
      <c r="F216" t="n">
        <v>0</v>
      </c>
      <c r="G216" t="n">
        <v>0</v>
      </c>
      <c r="H216">
        <f>AVERAGE(D6197:G6197)</f>
        <v/>
      </c>
    </row>
    <row r="217">
      <c r="A217" t="inlineStr">
        <is>
          <t>36473438</t>
        </is>
      </c>
      <c r="B217" t="inlineStr">
        <is>
          <t>PRODUCTO D58C50</t>
        </is>
      </c>
      <c r="C217" t="inlineStr">
        <is>
          <t>Miraflores</t>
        </is>
      </c>
      <c r="D217" t="n">
        <v>0</v>
      </c>
      <c r="E217" t="n">
        <v>0</v>
      </c>
      <c r="F217" t="n">
        <v>0</v>
      </c>
      <c r="G217" t="n">
        <v>0</v>
      </c>
      <c r="H217">
        <f>AVERAGE(D6198:G6198)</f>
        <v/>
      </c>
    </row>
    <row r="218">
      <c r="A218" t="inlineStr">
        <is>
          <t>36473438</t>
        </is>
      </c>
      <c r="B218" t="inlineStr">
        <is>
          <t>PRODUCTO D58C50</t>
        </is>
      </c>
      <c r="C218" t="inlineStr">
        <is>
          <t>Piura</t>
        </is>
      </c>
      <c r="D218" t="n">
        <v>0</v>
      </c>
      <c r="E218" t="n">
        <v>0</v>
      </c>
      <c r="F218" t="n">
        <v>0</v>
      </c>
      <c r="G218" t="n">
        <v>0</v>
      </c>
      <c r="H218">
        <f>AVERAGE(D6209:G6209)</f>
        <v/>
      </c>
    </row>
    <row r="219">
      <c r="A219" t="inlineStr">
        <is>
          <t>36493202</t>
        </is>
      </c>
      <c r="B219" t="inlineStr">
        <is>
          <t>PRODUCTO 542CDB</t>
        </is>
      </c>
      <c r="C219" t="inlineStr">
        <is>
          <t>Salaverry</t>
        </is>
      </c>
      <c r="D219" t="n">
        <v>0</v>
      </c>
      <c r="E219" t="n">
        <v>0</v>
      </c>
      <c r="F219" t="n">
        <v>0</v>
      </c>
      <c r="G219" t="n">
        <v>0</v>
      </c>
      <c r="H219">
        <f>AVERAGE(D6438:G6438)</f>
        <v/>
      </c>
    </row>
    <row r="220">
      <c r="A220" t="inlineStr">
        <is>
          <t>36493202</t>
        </is>
      </c>
      <c r="B220" t="inlineStr">
        <is>
          <t>PRODUCTO 542CDB</t>
        </is>
      </c>
      <c r="C220" t="inlineStr">
        <is>
          <t>San Borja</t>
        </is>
      </c>
      <c r="D220" t="n">
        <v>0</v>
      </c>
      <c r="E220" t="n">
        <v>0</v>
      </c>
      <c r="F220" t="n">
        <v>0</v>
      </c>
      <c r="G220" t="n">
        <v>0</v>
      </c>
      <c r="H220">
        <f>AVERAGE(D6439:G6439)</f>
        <v/>
      </c>
    </row>
    <row r="221">
      <c r="A221" t="inlineStr">
        <is>
          <t>36493202</t>
        </is>
      </c>
      <c r="B221" t="inlineStr">
        <is>
          <t>PRODUCTO 542CDB</t>
        </is>
      </c>
      <c r="C221" t="inlineStr">
        <is>
          <t>Piura</t>
        </is>
      </c>
      <c r="D221" t="n">
        <v>0</v>
      </c>
      <c r="E221" t="n">
        <v>0</v>
      </c>
      <c r="F221" t="n">
        <v>0</v>
      </c>
      <c r="G221" t="n">
        <v>0</v>
      </c>
      <c r="H221">
        <f>AVERAGE(D6441:G6441)</f>
        <v/>
      </c>
    </row>
    <row r="222">
      <c r="A222" t="inlineStr">
        <is>
          <t>36493242</t>
        </is>
      </c>
      <c r="B222" t="inlineStr">
        <is>
          <t>PRODUCTO 093757</t>
        </is>
      </c>
      <c r="C222" t="inlineStr">
        <is>
          <t>San Miguel</t>
        </is>
      </c>
      <c r="D222" t="n">
        <v>0</v>
      </c>
      <c r="E222" t="n">
        <v>0</v>
      </c>
      <c r="F222" t="n">
        <v>0</v>
      </c>
      <c r="G222" t="n">
        <v>0</v>
      </c>
      <c r="H222">
        <f>AVERAGE(D6503:G6503)</f>
        <v/>
      </c>
    </row>
    <row r="223">
      <c r="A223" t="inlineStr">
        <is>
          <t>36493242</t>
        </is>
      </c>
      <c r="B223" t="inlineStr">
        <is>
          <t>PRODUCTO 093757</t>
        </is>
      </c>
      <c r="C223" t="inlineStr">
        <is>
          <t>Miraflores</t>
        </is>
      </c>
      <c r="D223" t="n">
        <v>0</v>
      </c>
      <c r="E223" t="n">
        <v>0</v>
      </c>
      <c r="F223" t="n">
        <v>0</v>
      </c>
      <c r="G223" t="n">
        <v>0</v>
      </c>
      <c r="H223">
        <f>AVERAGE(D6504:G6504)</f>
        <v/>
      </c>
    </row>
    <row r="224">
      <c r="A224" t="inlineStr">
        <is>
          <t>36493242</t>
        </is>
      </c>
      <c r="B224" t="inlineStr">
        <is>
          <t>PRODUCTO 093757</t>
        </is>
      </c>
      <c r="C224" t="inlineStr">
        <is>
          <t>Salaverry</t>
        </is>
      </c>
      <c r="D224" t="n">
        <v>0</v>
      </c>
      <c r="E224" t="n">
        <v>0</v>
      </c>
      <c r="F224" t="n">
        <v>0</v>
      </c>
      <c r="G224" t="n">
        <v>0</v>
      </c>
      <c r="H224">
        <f>AVERAGE(D6510:G6510)</f>
        <v/>
      </c>
    </row>
    <row r="225">
      <c r="A225" t="inlineStr">
        <is>
          <t>36493242</t>
        </is>
      </c>
      <c r="B225" t="inlineStr">
        <is>
          <t>PRODUCTO 093757</t>
        </is>
      </c>
      <c r="C225" t="inlineStr">
        <is>
          <t>San Borja</t>
        </is>
      </c>
      <c r="D225" t="n">
        <v>0</v>
      </c>
      <c r="E225" t="n">
        <v>0</v>
      </c>
      <c r="F225" t="n">
        <v>0</v>
      </c>
      <c r="G225" t="n">
        <v>0</v>
      </c>
      <c r="H225">
        <f>AVERAGE(D6511:G6511)</f>
        <v/>
      </c>
    </row>
    <row r="226">
      <c r="A226" t="inlineStr">
        <is>
          <t>36493242</t>
        </is>
      </c>
      <c r="B226" t="inlineStr">
        <is>
          <t>PRODUCTO 093757</t>
        </is>
      </c>
      <c r="C226" t="inlineStr">
        <is>
          <t>Piura</t>
        </is>
      </c>
      <c r="D226" t="n">
        <v>1</v>
      </c>
      <c r="E226" t="n">
        <v>0</v>
      </c>
      <c r="F226" t="n">
        <v>1</v>
      </c>
      <c r="G226" t="n">
        <v>4</v>
      </c>
      <c r="H226">
        <f>AVERAGE(D6513:G6513)</f>
        <v/>
      </c>
    </row>
    <row r="227">
      <c r="A227" t="inlineStr">
        <is>
          <t>36493247</t>
        </is>
      </c>
      <c r="B227" t="inlineStr">
        <is>
          <t>PRODUCTO FEE445</t>
        </is>
      </c>
      <c r="C227" t="inlineStr">
        <is>
          <t>Jockey Plaza</t>
        </is>
      </c>
      <c r="D227" t="n">
        <v>0</v>
      </c>
      <c r="E227" t="n">
        <v>0</v>
      </c>
      <c r="F227" t="n">
        <v>0</v>
      </c>
      <c r="G227" t="n">
        <v>0</v>
      </c>
      <c r="H227">
        <f>AVERAGE(D6518:G6518)</f>
        <v/>
      </c>
    </row>
    <row r="228">
      <c r="A228" t="inlineStr">
        <is>
          <t>36493247</t>
        </is>
      </c>
      <c r="B228" t="inlineStr">
        <is>
          <t>PRODUCTO FEE445</t>
        </is>
      </c>
      <c r="C228" t="inlineStr">
        <is>
          <t>San Miguel</t>
        </is>
      </c>
      <c r="D228" t="n">
        <v>0</v>
      </c>
      <c r="E228" t="n">
        <v>0</v>
      </c>
      <c r="F228" t="n">
        <v>0</v>
      </c>
      <c r="G228" t="n">
        <v>0</v>
      </c>
      <c r="H228">
        <f>AVERAGE(D6519:G6519)</f>
        <v/>
      </c>
    </row>
    <row r="229">
      <c r="A229" t="inlineStr">
        <is>
          <t>36493247</t>
        </is>
      </c>
      <c r="B229" t="inlineStr">
        <is>
          <t>PRODUCTO FEE445</t>
        </is>
      </c>
      <c r="C229" t="inlineStr">
        <is>
          <t>Miraflores</t>
        </is>
      </c>
      <c r="D229" t="n">
        <v>2</v>
      </c>
      <c r="E229" t="n">
        <v>0</v>
      </c>
      <c r="F229" t="n">
        <v>0</v>
      </c>
      <c r="G229" t="n">
        <v>1</v>
      </c>
      <c r="H229">
        <f>AVERAGE(D6520:G6520)</f>
        <v/>
      </c>
    </row>
    <row r="230">
      <c r="A230" t="inlineStr">
        <is>
          <t>36493247</t>
        </is>
      </c>
      <c r="B230" t="inlineStr">
        <is>
          <t>PRODUCTO FEE445</t>
        </is>
      </c>
      <c r="C230" t="inlineStr">
        <is>
          <t>Salaverry</t>
        </is>
      </c>
      <c r="D230" t="n">
        <v>0</v>
      </c>
      <c r="E230" t="n">
        <v>0</v>
      </c>
      <c r="F230" t="n">
        <v>0</v>
      </c>
      <c r="G230" t="n">
        <v>0</v>
      </c>
      <c r="H230">
        <f>AVERAGE(D6527:G6527)</f>
        <v/>
      </c>
    </row>
    <row r="231">
      <c r="A231" t="inlineStr">
        <is>
          <t>36493247</t>
        </is>
      </c>
      <c r="B231" t="inlineStr">
        <is>
          <t>PRODUCTO FEE445</t>
        </is>
      </c>
      <c r="C231" t="inlineStr">
        <is>
          <t>San Borja</t>
        </is>
      </c>
      <c r="D231" t="n">
        <v>0</v>
      </c>
      <c r="E231" t="n">
        <v>0</v>
      </c>
      <c r="F231" t="n">
        <v>0</v>
      </c>
      <c r="G231" t="n">
        <v>0</v>
      </c>
      <c r="H231">
        <f>AVERAGE(D6528:G6528)</f>
        <v/>
      </c>
    </row>
    <row r="232">
      <c r="A232" t="inlineStr">
        <is>
          <t>36493247</t>
        </is>
      </c>
      <c r="B232" t="inlineStr">
        <is>
          <t>PRODUCTO FEE445</t>
        </is>
      </c>
      <c r="C232" t="inlineStr">
        <is>
          <t>Piura</t>
        </is>
      </c>
      <c r="D232" t="n">
        <v>0</v>
      </c>
      <c r="E232" t="n">
        <v>0</v>
      </c>
      <c r="F232" t="n">
        <v>0</v>
      </c>
      <c r="G232" t="n">
        <v>0</v>
      </c>
      <c r="H232">
        <f>AVERAGE(D6530:G6530)</f>
        <v/>
      </c>
    </row>
    <row r="233">
      <c r="A233" t="inlineStr">
        <is>
          <t>36494866</t>
        </is>
      </c>
      <c r="B233" t="inlineStr">
        <is>
          <t>PRODUCTO 398FBF</t>
        </is>
      </c>
      <c r="C233" t="inlineStr">
        <is>
          <t>Jockey Plaza</t>
        </is>
      </c>
      <c r="D233" t="n">
        <v>8</v>
      </c>
      <c r="E233" t="n">
        <v>2</v>
      </c>
      <c r="F233" t="n">
        <v>4</v>
      </c>
      <c r="G233" t="n">
        <v>4</v>
      </c>
      <c r="H233">
        <f>AVERAGE(D6632:G6632)</f>
        <v/>
      </c>
    </row>
    <row r="234">
      <c r="A234" t="inlineStr">
        <is>
          <t>36494866</t>
        </is>
      </c>
      <c r="B234" t="inlineStr">
        <is>
          <t>PRODUCTO 398FBF</t>
        </is>
      </c>
      <c r="C234" t="inlineStr">
        <is>
          <t>San Miguel</t>
        </is>
      </c>
      <c r="D234" t="n">
        <v>6</v>
      </c>
      <c r="E234" t="n">
        <v>2</v>
      </c>
      <c r="F234" t="n">
        <v>3</v>
      </c>
      <c r="G234" t="n">
        <v>3</v>
      </c>
      <c r="H234">
        <f>AVERAGE(D6633:G6633)</f>
        <v/>
      </c>
    </row>
    <row r="235">
      <c r="A235" t="inlineStr">
        <is>
          <t>36494866</t>
        </is>
      </c>
      <c r="B235" t="inlineStr">
        <is>
          <t>PRODUCTO 398FBF</t>
        </is>
      </c>
      <c r="C235" t="inlineStr">
        <is>
          <t>Miraflores</t>
        </is>
      </c>
      <c r="D235" t="n">
        <v>10</v>
      </c>
      <c r="E235" t="n">
        <v>3</v>
      </c>
      <c r="F235" t="n">
        <v>4</v>
      </c>
      <c r="G235" t="n">
        <v>5</v>
      </c>
      <c r="H235">
        <f>AVERAGE(D6634:G6634)</f>
        <v/>
      </c>
    </row>
    <row r="236">
      <c r="A236" t="inlineStr">
        <is>
          <t>36494866</t>
        </is>
      </c>
      <c r="B236" t="inlineStr">
        <is>
          <t>PRODUCTO 398FBF</t>
        </is>
      </c>
      <c r="C236" t="inlineStr">
        <is>
          <t>Salaverry</t>
        </is>
      </c>
      <c r="D236" t="n">
        <v>10</v>
      </c>
      <c r="E236" t="n">
        <v>3</v>
      </c>
      <c r="F236" t="n">
        <v>4</v>
      </c>
      <c r="G236" t="n">
        <v>5</v>
      </c>
      <c r="H236">
        <f>AVERAGE(D6640:G6640)</f>
        <v/>
      </c>
    </row>
    <row r="237">
      <c r="A237" t="inlineStr">
        <is>
          <t>36494866</t>
        </is>
      </c>
      <c r="B237" t="inlineStr">
        <is>
          <t>PRODUCTO 398FBF</t>
        </is>
      </c>
      <c r="C237" t="inlineStr">
        <is>
          <t>San Borja</t>
        </is>
      </c>
      <c r="D237" t="n">
        <v>7</v>
      </c>
      <c r="E237" t="n">
        <v>2</v>
      </c>
      <c r="F237" t="n">
        <v>3</v>
      </c>
      <c r="G237" t="n">
        <v>3</v>
      </c>
      <c r="H237">
        <f>AVERAGE(D6641:G6641)</f>
        <v/>
      </c>
    </row>
    <row r="238">
      <c r="A238" t="inlineStr">
        <is>
          <t>36494866</t>
        </is>
      </c>
      <c r="B238" t="inlineStr">
        <is>
          <t>PRODUCTO 398FBF</t>
        </is>
      </c>
      <c r="C238" t="inlineStr">
        <is>
          <t>Piura</t>
        </is>
      </c>
      <c r="D238" t="n">
        <v>26</v>
      </c>
      <c r="E238" t="n">
        <v>8</v>
      </c>
      <c r="F238" t="n">
        <v>11</v>
      </c>
      <c r="G238" t="n">
        <v>12</v>
      </c>
      <c r="H238">
        <f>AVERAGE(D6643:G6643)</f>
        <v/>
      </c>
    </row>
    <row r="239">
      <c r="A239" t="inlineStr">
        <is>
          <t>36504307</t>
        </is>
      </c>
      <c r="B239" t="inlineStr">
        <is>
          <t>PRODUCTO 01AFFA</t>
        </is>
      </c>
      <c r="C239" t="inlineStr">
        <is>
          <t>Miraflores</t>
        </is>
      </c>
      <c r="D239" t="n">
        <v>0</v>
      </c>
      <c r="E239" t="n">
        <v>0</v>
      </c>
      <c r="F239" t="n">
        <v>1</v>
      </c>
      <c r="G239" t="n">
        <v>0</v>
      </c>
      <c r="H239">
        <f>AVERAGE(D6787:G6787)</f>
        <v/>
      </c>
    </row>
    <row r="240">
      <c r="A240" t="inlineStr">
        <is>
          <t>36513182</t>
        </is>
      </c>
      <c r="B240" t="inlineStr">
        <is>
          <t>PRODUCTO 6F3593</t>
        </is>
      </c>
      <c r="C240" t="inlineStr">
        <is>
          <t>Jockey Plaza</t>
        </is>
      </c>
      <c r="D240" t="n">
        <v>0</v>
      </c>
      <c r="E240" t="n">
        <v>0</v>
      </c>
      <c r="F240" t="n">
        <v>0</v>
      </c>
      <c r="G240" t="n">
        <v>0</v>
      </c>
      <c r="H240">
        <f>AVERAGE(D6833:G6833)</f>
        <v/>
      </c>
    </row>
    <row r="241">
      <c r="A241" t="inlineStr">
        <is>
          <t>36513182</t>
        </is>
      </c>
      <c r="B241" t="inlineStr">
        <is>
          <t>PRODUCTO 6F3593</t>
        </is>
      </c>
      <c r="C241" t="inlineStr">
        <is>
          <t>Miraflores</t>
        </is>
      </c>
      <c r="D241" t="n">
        <v>0</v>
      </c>
      <c r="E241" t="n">
        <v>0</v>
      </c>
      <c r="F241" t="n">
        <v>0</v>
      </c>
      <c r="G241" t="n">
        <v>0</v>
      </c>
      <c r="H241">
        <f>AVERAGE(D6834:G6834)</f>
        <v/>
      </c>
    </row>
    <row r="242">
      <c r="A242" t="inlineStr">
        <is>
          <t>36513182</t>
        </is>
      </c>
      <c r="B242" t="inlineStr">
        <is>
          <t>PRODUCTO 6F3593</t>
        </is>
      </c>
      <c r="C242" t="inlineStr">
        <is>
          <t>Salaverry</t>
        </is>
      </c>
      <c r="D242" t="n">
        <v>0</v>
      </c>
      <c r="E242" t="n">
        <v>0</v>
      </c>
      <c r="F242" t="n">
        <v>0</v>
      </c>
      <c r="G242" t="n">
        <v>0</v>
      </c>
      <c r="H242">
        <f>AVERAGE(D6836:G6836)</f>
        <v/>
      </c>
    </row>
    <row r="243">
      <c r="A243" t="inlineStr">
        <is>
          <t>36513182</t>
        </is>
      </c>
      <c r="B243" t="inlineStr">
        <is>
          <t>PRODUCTO 6F3593</t>
        </is>
      </c>
      <c r="C243" t="inlineStr">
        <is>
          <t>San Borja</t>
        </is>
      </c>
      <c r="D243" t="n">
        <v>0</v>
      </c>
      <c r="E243" t="n">
        <v>0</v>
      </c>
      <c r="F243" t="n">
        <v>0</v>
      </c>
      <c r="G243" t="n">
        <v>0</v>
      </c>
      <c r="H243">
        <f>AVERAGE(D6837:G6837)</f>
        <v/>
      </c>
    </row>
    <row r="244">
      <c r="A244" t="inlineStr">
        <is>
          <t>36667952</t>
        </is>
      </c>
      <c r="B244" t="inlineStr">
        <is>
          <t>PRODUCTO F3EEE1</t>
        </is>
      </c>
      <c r="C244" t="inlineStr">
        <is>
          <t>Jockey Plaza</t>
        </is>
      </c>
      <c r="D244" t="n">
        <v>0</v>
      </c>
      <c r="E244" t="n">
        <v>0</v>
      </c>
      <c r="F244" t="n">
        <v>0</v>
      </c>
      <c r="G244" t="n">
        <v>0</v>
      </c>
      <c r="H244">
        <f>AVERAGE(D7046:G7046)</f>
        <v/>
      </c>
    </row>
    <row r="245">
      <c r="A245" t="inlineStr">
        <is>
          <t>36667952</t>
        </is>
      </c>
      <c r="B245" t="inlineStr">
        <is>
          <t>PRODUCTO F3EEE1</t>
        </is>
      </c>
      <c r="C245" t="inlineStr">
        <is>
          <t>San Miguel</t>
        </is>
      </c>
      <c r="D245" t="n">
        <v>0</v>
      </c>
      <c r="E245" t="n">
        <v>0</v>
      </c>
      <c r="F245" t="n">
        <v>0</v>
      </c>
      <c r="G245" t="n">
        <v>0</v>
      </c>
      <c r="H245">
        <f>AVERAGE(D7047:G7047)</f>
        <v/>
      </c>
    </row>
    <row r="246">
      <c r="A246" t="inlineStr">
        <is>
          <t>36667952</t>
        </is>
      </c>
      <c r="B246" t="inlineStr">
        <is>
          <t>PRODUCTO F3EEE1</t>
        </is>
      </c>
      <c r="C246" t="inlineStr">
        <is>
          <t>Miraflores</t>
        </is>
      </c>
      <c r="D246" t="n">
        <v>1</v>
      </c>
      <c r="E246" t="n">
        <v>1</v>
      </c>
      <c r="F246" t="n">
        <v>0</v>
      </c>
      <c r="G246" t="n">
        <v>1</v>
      </c>
      <c r="H246">
        <f>AVERAGE(D7048:G7048)</f>
        <v/>
      </c>
    </row>
    <row r="247">
      <c r="A247" t="inlineStr">
        <is>
          <t>36667952</t>
        </is>
      </c>
      <c r="B247" t="inlineStr">
        <is>
          <t>PRODUCTO F3EEE1</t>
        </is>
      </c>
      <c r="C247" t="inlineStr">
        <is>
          <t>Salaverry</t>
        </is>
      </c>
      <c r="D247" t="n">
        <v>0</v>
      </c>
      <c r="E247" t="n">
        <v>0</v>
      </c>
      <c r="F247" t="n">
        <v>0</v>
      </c>
      <c r="G247" t="n">
        <v>0</v>
      </c>
      <c r="H247">
        <f>AVERAGE(D7053:G7053)</f>
        <v/>
      </c>
    </row>
    <row r="248">
      <c r="A248" t="inlineStr">
        <is>
          <t>36667952</t>
        </is>
      </c>
      <c r="B248" t="inlineStr">
        <is>
          <t>PRODUCTO F3EEE1</t>
        </is>
      </c>
      <c r="C248" t="inlineStr">
        <is>
          <t>San Borja</t>
        </is>
      </c>
      <c r="D248" t="n">
        <v>0</v>
      </c>
      <c r="E248" t="n">
        <v>0</v>
      </c>
      <c r="F248" t="n">
        <v>0</v>
      </c>
      <c r="G248" t="n">
        <v>0</v>
      </c>
      <c r="H248">
        <f>AVERAGE(D7054:G7054)</f>
        <v/>
      </c>
    </row>
    <row r="249">
      <c r="A249" t="inlineStr">
        <is>
          <t>36667952</t>
        </is>
      </c>
      <c r="B249" t="inlineStr">
        <is>
          <t>PRODUCTO F3EEE1</t>
        </is>
      </c>
      <c r="C249" t="inlineStr">
        <is>
          <t>Piura</t>
        </is>
      </c>
      <c r="D249" t="n">
        <v>0</v>
      </c>
      <c r="E249" t="n">
        <v>0</v>
      </c>
      <c r="F249" t="n">
        <v>0</v>
      </c>
      <c r="G249" t="n">
        <v>0</v>
      </c>
      <c r="H249">
        <f>AVERAGE(D7056:G7056)</f>
        <v/>
      </c>
    </row>
    <row r="250">
      <c r="A250" t="inlineStr">
        <is>
          <t>36677296</t>
        </is>
      </c>
      <c r="B250" t="inlineStr">
        <is>
          <t>PRODUCTO 8D2A14</t>
        </is>
      </c>
      <c r="C250" t="inlineStr">
        <is>
          <t>Jockey Plaza</t>
        </is>
      </c>
      <c r="D250" t="n">
        <v>1</v>
      </c>
      <c r="E250" t="n">
        <v>1</v>
      </c>
      <c r="F250" t="n">
        <v>2</v>
      </c>
      <c r="G250" t="n">
        <v>2</v>
      </c>
      <c r="H250">
        <f>AVERAGE(D7066:G7066)</f>
        <v/>
      </c>
    </row>
    <row r="251">
      <c r="A251" t="inlineStr">
        <is>
          <t>36677296</t>
        </is>
      </c>
      <c r="B251" t="inlineStr">
        <is>
          <t>PRODUCTO 8D2A14</t>
        </is>
      </c>
      <c r="C251" t="inlineStr">
        <is>
          <t>San Miguel</t>
        </is>
      </c>
      <c r="D251" t="n">
        <v>0</v>
      </c>
      <c r="E251" t="n">
        <v>0</v>
      </c>
      <c r="F251" t="n">
        <v>0</v>
      </c>
      <c r="G251" t="n">
        <v>0</v>
      </c>
      <c r="H251">
        <f>AVERAGE(D7067:G7067)</f>
        <v/>
      </c>
    </row>
    <row r="252">
      <c r="A252" t="inlineStr">
        <is>
          <t>36677296</t>
        </is>
      </c>
      <c r="B252" t="inlineStr">
        <is>
          <t>PRODUCTO 8D2A14</t>
        </is>
      </c>
      <c r="C252" t="inlineStr">
        <is>
          <t>Miraflores</t>
        </is>
      </c>
      <c r="D252" t="n">
        <v>0</v>
      </c>
      <c r="E252" t="n">
        <v>0</v>
      </c>
      <c r="F252" t="n">
        <v>0</v>
      </c>
      <c r="G252" t="n">
        <v>0</v>
      </c>
      <c r="H252">
        <f>AVERAGE(D7068:G7068)</f>
        <v/>
      </c>
    </row>
    <row r="253">
      <c r="A253" t="inlineStr">
        <is>
          <t>36677296</t>
        </is>
      </c>
      <c r="B253" t="inlineStr">
        <is>
          <t>PRODUCTO 8D2A14</t>
        </is>
      </c>
      <c r="C253" t="inlineStr">
        <is>
          <t>San Borja</t>
        </is>
      </c>
      <c r="D253" t="n">
        <v>0</v>
      </c>
      <c r="E253" t="n">
        <v>0</v>
      </c>
      <c r="F253" t="n">
        <v>0</v>
      </c>
      <c r="G253" t="n">
        <v>0</v>
      </c>
      <c r="H253">
        <f>AVERAGE(D7075:G7075)</f>
        <v/>
      </c>
    </row>
    <row r="254">
      <c r="A254" t="inlineStr">
        <is>
          <t>36677296</t>
        </is>
      </c>
      <c r="B254" t="inlineStr">
        <is>
          <t>PRODUCTO 8D2A14</t>
        </is>
      </c>
      <c r="C254" t="inlineStr">
        <is>
          <t>Piura</t>
        </is>
      </c>
      <c r="D254" t="n">
        <v>1</v>
      </c>
      <c r="E254" t="n">
        <v>1</v>
      </c>
      <c r="F254" t="n">
        <v>2</v>
      </c>
      <c r="G254" t="n">
        <v>2</v>
      </c>
      <c r="H254">
        <f>AVERAGE(D7078:G7078)</f>
        <v/>
      </c>
    </row>
    <row r="255">
      <c r="A255" t="inlineStr">
        <is>
          <t>36677307</t>
        </is>
      </c>
      <c r="B255" t="inlineStr">
        <is>
          <t>PRODUCTO F844CF</t>
        </is>
      </c>
      <c r="C255" t="inlineStr">
        <is>
          <t>San Miguel</t>
        </is>
      </c>
      <c r="D255" t="n">
        <v>1</v>
      </c>
      <c r="E255" t="n">
        <v>1</v>
      </c>
      <c r="F255" t="n">
        <v>0</v>
      </c>
      <c r="G255" t="n">
        <v>2</v>
      </c>
      <c r="H255">
        <f>AVERAGE(D7080:G7080)</f>
        <v/>
      </c>
    </row>
    <row r="256">
      <c r="A256" t="inlineStr">
        <is>
          <t>36677307</t>
        </is>
      </c>
      <c r="B256" t="inlineStr">
        <is>
          <t>PRODUCTO F844CF</t>
        </is>
      </c>
      <c r="C256" t="inlineStr">
        <is>
          <t>Miraflores</t>
        </is>
      </c>
      <c r="D256" t="n">
        <v>0</v>
      </c>
      <c r="E256" t="n">
        <v>0</v>
      </c>
      <c r="F256" t="n">
        <v>0</v>
      </c>
      <c r="G256" t="n">
        <v>0</v>
      </c>
      <c r="H256">
        <f>AVERAGE(D7081:G7081)</f>
        <v/>
      </c>
    </row>
    <row r="257">
      <c r="A257" t="inlineStr">
        <is>
          <t>36677307</t>
        </is>
      </c>
      <c r="B257" t="inlineStr">
        <is>
          <t>PRODUCTO F844CF</t>
        </is>
      </c>
      <c r="C257" t="inlineStr">
        <is>
          <t>Salaverry</t>
        </is>
      </c>
      <c r="D257" t="n">
        <v>1</v>
      </c>
      <c r="E257" t="n">
        <v>1</v>
      </c>
      <c r="F257" t="n">
        <v>0</v>
      </c>
      <c r="G257" t="n">
        <v>2</v>
      </c>
      <c r="H257">
        <f>AVERAGE(D7086:G7086)</f>
        <v/>
      </c>
    </row>
    <row r="258">
      <c r="A258" t="inlineStr">
        <is>
          <t>36677307</t>
        </is>
      </c>
      <c r="B258" t="inlineStr">
        <is>
          <t>PRODUCTO F844CF</t>
        </is>
      </c>
      <c r="C258" t="inlineStr">
        <is>
          <t>San Borja</t>
        </is>
      </c>
      <c r="D258" t="n">
        <v>0</v>
      </c>
      <c r="E258" t="n">
        <v>0</v>
      </c>
      <c r="F258" t="n">
        <v>0</v>
      </c>
      <c r="G258" t="n">
        <v>0</v>
      </c>
      <c r="H258">
        <f>AVERAGE(D7087:G7087)</f>
        <v/>
      </c>
    </row>
    <row r="259">
      <c r="A259" t="inlineStr">
        <is>
          <t>36677307</t>
        </is>
      </c>
      <c r="B259" t="inlineStr">
        <is>
          <t>PRODUCTO F844CF</t>
        </is>
      </c>
      <c r="C259" t="inlineStr">
        <is>
          <t>Piura</t>
        </is>
      </c>
      <c r="D259" t="n">
        <v>0</v>
      </c>
      <c r="E259" t="n">
        <v>0</v>
      </c>
      <c r="F259" t="n">
        <v>0</v>
      </c>
      <c r="G259" t="n">
        <v>0</v>
      </c>
      <c r="H259">
        <f>AVERAGE(D7088:G7088)</f>
        <v/>
      </c>
    </row>
    <row r="260">
      <c r="A260" t="inlineStr">
        <is>
          <t>36678450</t>
        </is>
      </c>
      <c r="B260" t="inlineStr">
        <is>
          <t>PRODUCTO FB4091</t>
        </is>
      </c>
      <c r="C260" t="inlineStr">
        <is>
          <t>San Borja</t>
        </is>
      </c>
      <c r="D260" t="n">
        <v>1</v>
      </c>
      <c r="E260" t="n">
        <v>0</v>
      </c>
      <c r="F260" t="n">
        <v>0</v>
      </c>
      <c r="G260" t="n">
        <v>2</v>
      </c>
      <c r="H260">
        <f>AVERAGE(D7208:G7208)</f>
        <v/>
      </c>
    </row>
    <row r="261">
      <c r="A261" t="inlineStr">
        <is>
          <t>36678476</t>
        </is>
      </c>
      <c r="B261" t="inlineStr">
        <is>
          <t>PRODUCTO 9332CE</t>
        </is>
      </c>
      <c r="C261" t="inlineStr">
        <is>
          <t>Jockey Plaza</t>
        </is>
      </c>
      <c r="D261" t="n">
        <v>0</v>
      </c>
      <c r="E261" t="n">
        <v>0</v>
      </c>
      <c r="F261" t="n">
        <v>0</v>
      </c>
      <c r="G261" t="n">
        <v>0</v>
      </c>
      <c r="H261">
        <f>AVERAGE(D7247:G7247)</f>
        <v/>
      </c>
    </row>
    <row r="262">
      <c r="A262" t="inlineStr">
        <is>
          <t>36678476</t>
        </is>
      </c>
      <c r="B262" t="inlineStr">
        <is>
          <t>PRODUCTO 9332CE</t>
        </is>
      </c>
      <c r="C262" t="inlineStr">
        <is>
          <t>San Miguel</t>
        </is>
      </c>
      <c r="D262" t="n">
        <v>0</v>
      </c>
      <c r="E262" t="n">
        <v>0</v>
      </c>
      <c r="F262" t="n">
        <v>0</v>
      </c>
      <c r="G262" t="n">
        <v>0</v>
      </c>
      <c r="H262">
        <f>AVERAGE(D7248:G7248)</f>
        <v/>
      </c>
    </row>
    <row r="263">
      <c r="A263" t="inlineStr">
        <is>
          <t>36678476</t>
        </is>
      </c>
      <c r="B263" t="inlineStr">
        <is>
          <t>PRODUCTO 9332CE</t>
        </is>
      </c>
      <c r="C263" t="inlineStr">
        <is>
          <t>Miraflores</t>
        </is>
      </c>
      <c r="D263" t="n">
        <v>0</v>
      </c>
      <c r="E263" t="n">
        <v>0</v>
      </c>
      <c r="F263" t="n">
        <v>0</v>
      </c>
      <c r="G263" t="n">
        <v>0</v>
      </c>
      <c r="H263">
        <f>AVERAGE(D7249:G7249)</f>
        <v/>
      </c>
    </row>
    <row r="264">
      <c r="A264" t="inlineStr">
        <is>
          <t>36678476</t>
        </is>
      </c>
      <c r="B264" t="inlineStr">
        <is>
          <t>PRODUCTO 9332CE</t>
        </is>
      </c>
      <c r="C264" t="inlineStr">
        <is>
          <t>Salaverry</t>
        </is>
      </c>
      <c r="D264" t="n">
        <v>0</v>
      </c>
      <c r="E264" t="n">
        <v>0</v>
      </c>
      <c r="F264" t="n">
        <v>0</v>
      </c>
      <c r="G264" t="n">
        <v>0</v>
      </c>
      <c r="H264">
        <f>AVERAGE(D7254:G7254)</f>
        <v/>
      </c>
    </row>
    <row r="265">
      <c r="A265" t="inlineStr">
        <is>
          <t>36678476</t>
        </is>
      </c>
      <c r="B265" t="inlineStr">
        <is>
          <t>PRODUCTO 9332CE</t>
        </is>
      </c>
      <c r="C265" t="inlineStr">
        <is>
          <t>San Borja</t>
        </is>
      </c>
      <c r="D265" t="n">
        <v>0</v>
      </c>
      <c r="E265" t="n">
        <v>0</v>
      </c>
      <c r="F265" t="n">
        <v>0</v>
      </c>
      <c r="G265" t="n">
        <v>0</v>
      </c>
      <c r="H265">
        <f>AVERAGE(D7255:G7255)</f>
        <v/>
      </c>
    </row>
    <row r="266">
      <c r="A266" t="inlineStr">
        <is>
          <t>36678476</t>
        </is>
      </c>
      <c r="B266" t="inlineStr">
        <is>
          <t>PRODUCTO 9332CE</t>
        </is>
      </c>
      <c r="C266" t="inlineStr">
        <is>
          <t>Piura</t>
        </is>
      </c>
      <c r="D266" t="n">
        <v>0</v>
      </c>
      <c r="E266" t="n">
        <v>0</v>
      </c>
      <c r="F266" t="n">
        <v>0</v>
      </c>
      <c r="G266" t="n">
        <v>0</v>
      </c>
      <c r="H266">
        <f>AVERAGE(D7257:G7257)</f>
        <v/>
      </c>
    </row>
    <row r="267">
      <c r="A267" t="inlineStr">
        <is>
          <t>36678575</t>
        </is>
      </c>
      <c r="B267" t="inlineStr">
        <is>
          <t>PRODUCTO 679070</t>
        </is>
      </c>
      <c r="C267" t="inlineStr">
        <is>
          <t>Jockey Plaza</t>
        </is>
      </c>
      <c r="D267" t="n">
        <v>0</v>
      </c>
      <c r="E267" t="n">
        <v>0</v>
      </c>
      <c r="F267" t="n">
        <v>0</v>
      </c>
      <c r="G267" t="n">
        <v>0</v>
      </c>
      <c r="H267">
        <f>AVERAGE(D7412:G7412)</f>
        <v/>
      </c>
    </row>
    <row r="268">
      <c r="A268" t="inlineStr">
        <is>
          <t>36678575</t>
        </is>
      </c>
      <c r="B268" t="inlineStr">
        <is>
          <t>PRODUCTO 679070</t>
        </is>
      </c>
      <c r="C268" t="inlineStr">
        <is>
          <t>San Miguel</t>
        </is>
      </c>
      <c r="D268" t="n">
        <v>0</v>
      </c>
      <c r="E268" t="n">
        <v>0</v>
      </c>
      <c r="F268" t="n">
        <v>0</v>
      </c>
      <c r="G268" t="n">
        <v>0</v>
      </c>
      <c r="H268">
        <f>AVERAGE(D7413:G7413)</f>
        <v/>
      </c>
    </row>
    <row r="269">
      <c r="A269" t="inlineStr">
        <is>
          <t>36678575</t>
        </is>
      </c>
      <c r="B269" t="inlineStr">
        <is>
          <t>PRODUCTO 679070</t>
        </is>
      </c>
      <c r="C269" t="inlineStr">
        <is>
          <t>Miraflores</t>
        </is>
      </c>
      <c r="D269" t="n">
        <v>0</v>
      </c>
      <c r="E269" t="n">
        <v>0</v>
      </c>
      <c r="F269" t="n">
        <v>0</v>
      </c>
      <c r="G269" t="n">
        <v>0</v>
      </c>
      <c r="H269">
        <f>AVERAGE(D7414:G7414)</f>
        <v/>
      </c>
    </row>
    <row r="270">
      <c r="A270" t="inlineStr">
        <is>
          <t>36678575</t>
        </is>
      </c>
      <c r="B270" t="inlineStr">
        <is>
          <t>PRODUCTO 679070</t>
        </is>
      </c>
      <c r="C270" t="inlineStr">
        <is>
          <t>Salaverry</t>
        </is>
      </c>
      <c r="D270" t="n">
        <v>0</v>
      </c>
      <c r="E270" t="n">
        <v>0</v>
      </c>
      <c r="F270" t="n">
        <v>0</v>
      </c>
      <c r="G270" t="n">
        <v>0</v>
      </c>
      <c r="H270">
        <f>AVERAGE(D7423:G7423)</f>
        <v/>
      </c>
    </row>
    <row r="271">
      <c r="A271" t="inlineStr">
        <is>
          <t>36678575</t>
        </is>
      </c>
      <c r="B271" t="inlineStr">
        <is>
          <t>PRODUCTO 679070</t>
        </is>
      </c>
      <c r="C271" t="inlineStr">
        <is>
          <t>San Borja</t>
        </is>
      </c>
      <c r="D271" t="n">
        <v>0</v>
      </c>
      <c r="E271" t="n">
        <v>0</v>
      </c>
      <c r="F271" t="n">
        <v>0</v>
      </c>
      <c r="G271" t="n">
        <v>0</v>
      </c>
      <c r="H271">
        <f>AVERAGE(D7424:G7424)</f>
        <v/>
      </c>
    </row>
    <row r="272">
      <c r="A272" t="inlineStr">
        <is>
          <t>36678575</t>
        </is>
      </c>
      <c r="B272" t="inlineStr">
        <is>
          <t>PRODUCTO 679070</t>
        </is>
      </c>
      <c r="C272" t="inlineStr">
        <is>
          <t>Piura</t>
        </is>
      </c>
      <c r="D272" t="n">
        <v>0</v>
      </c>
      <c r="E272" t="n">
        <v>0</v>
      </c>
      <c r="F272" t="n">
        <v>0</v>
      </c>
      <c r="G272" t="n">
        <v>0</v>
      </c>
      <c r="H272">
        <f>AVERAGE(D7430:G7430)</f>
        <v/>
      </c>
    </row>
    <row r="273">
      <c r="A273" t="inlineStr">
        <is>
          <t>36755142</t>
        </is>
      </c>
      <c r="B273" t="inlineStr">
        <is>
          <t>PRODUCTO ACE89C</t>
        </is>
      </c>
      <c r="C273" t="inlineStr">
        <is>
          <t>Miraflores</t>
        </is>
      </c>
      <c r="D273" t="n">
        <v>0</v>
      </c>
      <c r="E273" t="n">
        <v>0</v>
      </c>
      <c r="F273" t="n">
        <v>0</v>
      </c>
      <c r="G273" t="n">
        <v>0</v>
      </c>
      <c r="H273">
        <f>AVERAGE(D7562:G7562)</f>
        <v/>
      </c>
    </row>
    <row r="274">
      <c r="A274" t="inlineStr">
        <is>
          <t>36755142</t>
        </is>
      </c>
      <c r="B274" t="inlineStr">
        <is>
          <t>PRODUCTO ACE89C</t>
        </is>
      </c>
      <c r="C274" t="inlineStr">
        <is>
          <t>San Borja</t>
        </is>
      </c>
      <c r="D274" t="n">
        <v>0</v>
      </c>
      <c r="E274" t="n">
        <v>0</v>
      </c>
      <c r="F274" t="n">
        <v>0</v>
      </c>
      <c r="G274" t="n">
        <v>0</v>
      </c>
      <c r="H274">
        <f>AVERAGE(D7564:G7564)</f>
        <v/>
      </c>
    </row>
    <row r="275">
      <c r="A275" t="inlineStr">
        <is>
          <t>36755142</t>
        </is>
      </c>
      <c r="B275" t="inlineStr">
        <is>
          <t>PRODUCTO ACE89C</t>
        </is>
      </c>
      <c r="C275" t="inlineStr">
        <is>
          <t>Piura</t>
        </is>
      </c>
      <c r="D275" t="n">
        <v>0</v>
      </c>
      <c r="E275" t="n">
        <v>0</v>
      </c>
      <c r="F275" t="n">
        <v>0</v>
      </c>
      <c r="G275" t="n">
        <v>0</v>
      </c>
      <c r="H275">
        <f>AVERAGE(D7565:G7565)</f>
        <v/>
      </c>
    </row>
    <row r="276">
      <c r="A276" t="inlineStr">
        <is>
          <t>36755218</t>
        </is>
      </c>
      <c r="B276" t="inlineStr">
        <is>
          <t>PRODUCTO BF0DD2</t>
        </is>
      </c>
      <c r="C276" t="inlineStr">
        <is>
          <t>San Miguel</t>
        </is>
      </c>
      <c r="D276" t="n">
        <v>0</v>
      </c>
      <c r="E276" t="n">
        <v>0</v>
      </c>
      <c r="F276" t="n">
        <v>0</v>
      </c>
      <c r="G276" t="n">
        <v>0</v>
      </c>
      <c r="H276">
        <f>AVERAGE(D7574:G7574)</f>
        <v/>
      </c>
    </row>
    <row r="277">
      <c r="A277" t="inlineStr">
        <is>
          <t>36755218</t>
        </is>
      </c>
      <c r="B277" t="inlineStr">
        <is>
          <t>PRODUCTO BF0DD2</t>
        </is>
      </c>
      <c r="C277" t="inlineStr">
        <is>
          <t>Miraflores</t>
        </is>
      </c>
      <c r="D277" t="n">
        <v>0</v>
      </c>
      <c r="E277" t="n">
        <v>0</v>
      </c>
      <c r="F277" t="n">
        <v>0</v>
      </c>
      <c r="G277" t="n">
        <v>0</v>
      </c>
      <c r="H277">
        <f>AVERAGE(D7575:G7575)</f>
        <v/>
      </c>
    </row>
    <row r="278">
      <c r="A278" t="inlineStr">
        <is>
          <t>36755218</t>
        </is>
      </c>
      <c r="B278" t="inlineStr">
        <is>
          <t>PRODUCTO BF0DD2</t>
        </is>
      </c>
      <c r="C278" t="inlineStr">
        <is>
          <t>San Borja</t>
        </is>
      </c>
      <c r="D278" t="n">
        <v>0</v>
      </c>
      <c r="E278" t="n">
        <v>0</v>
      </c>
      <c r="F278" t="n">
        <v>0</v>
      </c>
      <c r="G278" t="n">
        <v>0</v>
      </c>
      <c r="H278">
        <f>AVERAGE(D7577:G7577)</f>
        <v/>
      </c>
    </row>
    <row r="279">
      <c r="A279" t="inlineStr">
        <is>
          <t>36755218</t>
        </is>
      </c>
      <c r="B279" t="inlineStr">
        <is>
          <t>PRODUCTO BF0DD2</t>
        </is>
      </c>
      <c r="C279" t="inlineStr">
        <is>
          <t>Piura</t>
        </is>
      </c>
      <c r="D279" t="n">
        <v>0</v>
      </c>
      <c r="E279" t="n">
        <v>0</v>
      </c>
      <c r="F279" t="n">
        <v>0</v>
      </c>
      <c r="G279" t="n">
        <v>0</v>
      </c>
      <c r="H279">
        <f>AVERAGE(D7578:G7578)</f>
        <v/>
      </c>
    </row>
    <row r="280">
      <c r="A280" t="inlineStr">
        <is>
          <t>36780298</t>
        </is>
      </c>
      <c r="B280" t="inlineStr">
        <is>
          <t>PRODUCTO D45071</t>
        </is>
      </c>
      <c r="C280" t="inlineStr">
        <is>
          <t>Miraflores</t>
        </is>
      </c>
      <c r="D280" t="n">
        <v>0</v>
      </c>
      <c r="E280" t="n">
        <v>0</v>
      </c>
      <c r="F280" t="n">
        <v>0</v>
      </c>
      <c r="G280" t="n">
        <v>0</v>
      </c>
      <c r="H280">
        <f>AVERAGE(D7588:G7588)</f>
        <v/>
      </c>
    </row>
    <row r="281">
      <c r="A281" t="inlineStr">
        <is>
          <t>36780298</t>
        </is>
      </c>
      <c r="B281" t="inlineStr">
        <is>
          <t>PRODUCTO D45071</t>
        </is>
      </c>
      <c r="C281" t="inlineStr">
        <is>
          <t>Salaverry</t>
        </is>
      </c>
      <c r="D281" t="n">
        <v>0</v>
      </c>
      <c r="E281" t="n">
        <v>0</v>
      </c>
      <c r="F281" t="n">
        <v>0</v>
      </c>
      <c r="G281" t="n">
        <v>0</v>
      </c>
      <c r="H281">
        <f>AVERAGE(D7590:G7590)</f>
        <v/>
      </c>
    </row>
    <row r="282">
      <c r="A282" t="inlineStr">
        <is>
          <t>36780298</t>
        </is>
      </c>
      <c r="B282" t="inlineStr">
        <is>
          <t>PRODUCTO D45071</t>
        </is>
      </c>
      <c r="C282" t="inlineStr">
        <is>
          <t>San Borja</t>
        </is>
      </c>
      <c r="D282" t="n">
        <v>0</v>
      </c>
      <c r="E282" t="n">
        <v>0</v>
      </c>
      <c r="F282" t="n">
        <v>0</v>
      </c>
      <c r="G282" t="n">
        <v>0</v>
      </c>
      <c r="H282">
        <f>AVERAGE(D7591:G7591)</f>
        <v/>
      </c>
    </row>
    <row r="283">
      <c r="A283" t="inlineStr">
        <is>
          <t>36780298</t>
        </is>
      </c>
      <c r="B283" t="inlineStr">
        <is>
          <t>PRODUCTO D45071</t>
        </is>
      </c>
      <c r="C283" t="inlineStr">
        <is>
          <t>Piura</t>
        </is>
      </c>
      <c r="D283" t="n">
        <v>4</v>
      </c>
      <c r="E283" t="n">
        <v>1</v>
      </c>
      <c r="F283" t="n">
        <v>2</v>
      </c>
      <c r="G283" t="n">
        <v>4</v>
      </c>
      <c r="H283">
        <f>AVERAGE(D7593:G7593)</f>
        <v/>
      </c>
    </row>
    <row r="284">
      <c r="A284" t="inlineStr">
        <is>
          <t>36793346</t>
        </is>
      </c>
      <c r="B284" t="inlineStr">
        <is>
          <t>PRODUCTO 27F5D1</t>
        </is>
      </c>
      <c r="C284" t="inlineStr">
        <is>
          <t>Miraflores</t>
        </is>
      </c>
      <c r="D284" t="n">
        <v>0</v>
      </c>
      <c r="E284" t="n">
        <v>0</v>
      </c>
      <c r="F284" t="n">
        <v>0</v>
      </c>
      <c r="G284" t="n">
        <v>0</v>
      </c>
      <c r="H284">
        <f>AVERAGE(D7682:G7682)</f>
        <v/>
      </c>
    </row>
    <row r="285">
      <c r="A285" t="inlineStr">
        <is>
          <t>36793346</t>
        </is>
      </c>
      <c r="B285" t="inlineStr">
        <is>
          <t>PRODUCTO 27F5D1</t>
        </is>
      </c>
      <c r="C285" t="inlineStr">
        <is>
          <t>San Borja</t>
        </is>
      </c>
      <c r="D285" t="n">
        <v>0</v>
      </c>
      <c r="E285" t="n">
        <v>0</v>
      </c>
      <c r="F285" t="n">
        <v>0</v>
      </c>
      <c r="G285" t="n">
        <v>0</v>
      </c>
      <c r="H285">
        <f>AVERAGE(D7686:G7686)</f>
        <v/>
      </c>
    </row>
    <row r="286">
      <c r="A286" t="inlineStr">
        <is>
          <t>36793346</t>
        </is>
      </c>
      <c r="B286" t="inlineStr">
        <is>
          <t>PRODUCTO 27F5D1</t>
        </is>
      </c>
      <c r="C286" t="inlineStr">
        <is>
          <t>Piura</t>
        </is>
      </c>
      <c r="D286" t="n">
        <v>0</v>
      </c>
      <c r="E286" t="n">
        <v>0</v>
      </c>
      <c r="F286" t="n">
        <v>0</v>
      </c>
      <c r="G286" t="n">
        <v>0</v>
      </c>
      <c r="H286">
        <f>AVERAGE(D7687:G7687)</f>
        <v/>
      </c>
    </row>
    <row r="287">
      <c r="A287" t="inlineStr">
        <is>
          <t>36812167</t>
        </is>
      </c>
      <c r="B287" t="inlineStr">
        <is>
          <t>PRODUCTO CEBBBA</t>
        </is>
      </c>
      <c r="C287" t="inlineStr">
        <is>
          <t>San Borja</t>
        </is>
      </c>
      <c r="D287" t="n">
        <v>0</v>
      </c>
      <c r="E287" t="n">
        <v>0</v>
      </c>
      <c r="F287" t="n">
        <v>0</v>
      </c>
      <c r="G287" t="n">
        <v>0</v>
      </c>
      <c r="H287">
        <f>AVERAGE(D7745:G7745)</f>
        <v/>
      </c>
    </row>
    <row r="288">
      <c r="A288" t="inlineStr">
        <is>
          <t>36812167</t>
        </is>
      </c>
      <c r="B288" t="inlineStr">
        <is>
          <t>PRODUCTO CEBBBA</t>
        </is>
      </c>
      <c r="C288" t="inlineStr">
        <is>
          <t>Piura</t>
        </is>
      </c>
      <c r="D288" t="n">
        <v>0</v>
      </c>
      <c r="E288" t="n">
        <v>0</v>
      </c>
      <c r="F288" t="n">
        <v>0</v>
      </c>
      <c r="G288" t="n">
        <v>0</v>
      </c>
      <c r="H288">
        <f>AVERAGE(D7746:G7746)</f>
        <v/>
      </c>
    </row>
    <row r="289">
      <c r="A289" t="inlineStr">
        <is>
          <t>36812595</t>
        </is>
      </c>
      <c r="B289" t="inlineStr">
        <is>
          <t>PRODUCTO D2A5E4</t>
        </is>
      </c>
      <c r="C289" t="inlineStr">
        <is>
          <t>Piura</t>
        </is>
      </c>
      <c r="D289" t="n">
        <v>1</v>
      </c>
      <c r="E289" t="n">
        <v>0</v>
      </c>
      <c r="F289" t="n">
        <v>0</v>
      </c>
      <c r="G289" t="n">
        <v>0</v>
      </c>
      <c r="H289">
        <f>AVERAGE(D7767:G7767)</f>
        <v/>
      </c>
    </row>
    <row r="290">
      <c r="A290" t="inlineStr">
        <is>
          <t>36812621</t>
        </is>
      </c>
      <c r="B290" t="inlineStr">
        <is>
          <t>PRODUCTO 402767</t>
        </is>
      </c>
      <c r="C290" t="inlineStr">
        <is>
          <t>Jockey Plaza</t>
        </is>
      </c>
      <c r="D290" t="n">
        <v>0</v>
      </c>
      <c r="E290" t="n">
        <v>0</v>
      </c>
      <c r="F290" t="n">
        <v>0</v>
      </c>
      <c r="G290" t="n">
        <v>0</v>
      </c>
      <c r="H290">
        <f>AVERAGE(D7768:G7768)</f>
        <v/>
      </c>
    </row>
    <row r="291">
      <c r="A291" t="inlineStr">
        <is>
          <t>36812621</t>
        </is>
      </c>
      <c r="B291" t="inlineStr">
        <is>
          <t>PRODUCTO 402767</t>
        </is>
      </c>
      <c r="C291" t="inlineStr">
        <is>
          <t>Miraflores</t>
        </is>
      </c>
      <c r="D291" t="n">
        <v>1</v>
      </c>
      <c r="E291" t="n">
        <v>0</v>
      </c>
      <c r="F291" t="n">
        <v>1</v>
      </c>
      <c r="G291" t="n">
        <v>1</v>
      </c>
      <c r="H291">
        <f>AVERAGE(D7769:G7769)</f>
        <v/>
      </c>
    </row>
    <row r="292">
      <c r="A292" t="inlineStr">
        <is>
          <t>36812621</t>
        </is>
      </c>
      <c r="B292" t="inlineStr">
        <is>
          <t>PRODUCTO 402767</t>
        </is>
      </c>
      <c r="C292" t="inlineStr">
        <is>
          <t>Salaverry</t>
        </is>
      </c>
      <c r="D292" t="n">
        <v>0</v>
      </c>
      <c r="E292" t="n">
        <v>0</v>
      </c>
      <c r="F292" t="n">
        <v>0</v>
      </c>
      <c r="G292" t="n">
        <v>0</v>
      </c>
      <c r="H292">
        <f>AVERAGE(D7773:G7773)</f>
        <v/>
      </c>
    </row>
    <row r="293">
      <c r="A293" t="inlineStr">
        <is>
          <t>36812621</t>
        </is>
      </c>
      <c r="B293" t="inlineStr">
        <is>
          <t>PRODUCTO 402767</t>
        </is>
      </c>
      <c r="C293" t="inlineStr">
        <is>
          <t>San Borja</t>
        </is>
      </c>
      <c r="D293" t="n">
        <v>1</v>
      </c>
      <c r="E293" t="n">
        <v>0</v>
      </c>
      <c r="F293" t="n">
        <v>1</v>
      </c>
      <c r="G293" t="n">
        <v>1</v>
      </c>
      <c r="H293">
        <f>AVERAGE(D7774:G7774)</f>
        <v/>
      </c>
    </row>
    <row r="294">
      <c r="A294" t="inlineStr">
        <is>
          <t>36812621</t>
        </is>
      </c>
      <c r="B294" t="inlineStr">
        <is>
          <t>PRODUCTO 402767</t>
        </is>
      </c>
      <c r="C294" t="inlineStr">
        <is>
          <t>Piura</t>
        </is>
      </c>
      <c r="D294" t="n">
        <v>1</v>
      </c>
      <c r="E294" t="n">
        <v>0</v>
      </c>
      <c r="F294" t="n">
        <v>1</v>
      </c>
      <c r="G294" t="n">
        <v>1</v>
      </c>
      <c r="H294">
        <f>AVERAGE(D7775:G7775)</f>
        <v/>
      </c>
    </row>
    <row r="295">
      <c r="A295" t="inlineStr">
        <is>
          <t>36813801</t>
        </is>
      </c>
      <c r="B295" t="inlineStr">
        <is>
          <t>PRODUCTO 988B3E</t>
        </is>
      </c>
      <c r="C295" t="inlineStr">
        <is>
          <t>Miraflores</t>
        </is>
      </c>
      <c r="D295" t="n">
        <v>0</v>
      </c>
      <c r="E295" t="n">
        <v>0</v>
      </c>
      <c r="F295" t="n">
        <v>0</v>
      </c>
      <c r="G295" t="n">
        <v>0</v>
      </c>
      <c r="H295">
        <f>AVERAGE(D7809:G7809)</f>
        <v/>
      </c>
    </row>
    <row r="296">
      <c r="A296" t="inlineStr">
        <is>
          <t>36813801</t>
        </is>
      </c>
      <c r="B296" t="inlineStr">
        <is>
          <t>PRODUCTO 988B3E</t>
        </is>
      </c>
      <c r="C296" t="inlineStr">
        <is>
          <t>Piura</t>
        </is>
      </c>
      <c r="D296" t="n">
        <v>1</v>
      </c>
      <c r="E296" t="n">
        <v>0</v>
      </c>
      <c r="F296" t="n">
        <v>2</v>
      </c>
      <c r="G296" t="n">
        <v>0</v>
      </c>
      <c r="H296">
        <f>AVERAGE(D7811:G7811)</f>
        <v/>
      </c>
    </row>
    <row r="297">
      <c r="A297" t="inlineStr">
        <is>
          <t>36813956</t>
        </is>
      </c>
      <c r="B297" t="inlineStr">
        <is>
          <t>PRODUCTO 316189</t>
        </is>
      </c>
      <c r="C297" t="inlineStr">
        <is>
          <t>Miraflores</t>
        </is>
      </c>
      <c r="D297" t="n">
        <v>0</v>
      </c>
      <c r="E297" t="n">
        <v>0</v>
      </c>
      <c r="F297" t="n">
        <v>0</v>
      </c>
      <c r="G297" t="n">
        <v>0</v>
      </c>
      <c r="H297">
        <f>AVERAGE(D7836:G7836)</f>
        <v/>
      </c>
    </row>
    <row r="298">
      <c r="A298" t="inlineStr">
        <is>
          <t>36813969</t>
        </is>
      </c>
      <c r="B298" t="inlineStr">
        <is>
          <t>PRODUCTO BD5317</t>
        </is>
      </c>
      <c r="C298" t="inlineStr">
        <is>
          <t>Miraflores</t>
        </is>
      </c>
      <c r="D298" t="n">
        <v>0</v>
      </c>
      <c r="E298" t="n">
        <v>0</v>
      </c>
      <c r="F298" t="n">
        <v>0</v>
      </c>
      <c r="G298" t="n">
        <v>0</v>
      </c>
      <c r="H298">
        <f>AVERAGE(D7839:G7839)</f>
        <v/>
      </c>
    </row>
    <row r="299">
      <c r="A299" t="inlineStr">
        <is>
          <t>36814002</t>
        </is>
      </c>
      <c r="B299" t="inlineStr">
        <is>
          <t>PRODUCTO A2C698</t>
        </is>
      </c>
      <c r="C299" t="inlineStr">
        <is>
          <t>Miraflores</t>
        </is>
      </c>
      <c r="D299" t="n">
        <v>0</v>
      </c>
      <c r="E299" t="n">
        <v>0</v>
      </c>
      <c r="F299" t="n">
        <v>0</v>
      </c>
      <c r="G299" t="n">
        <v>0</v>
      </c>
      <c r="H299">
        <f>AVERAGE(D7842:G7842)</f>
        <v/>
      </c>
    </row>
    <row r="300">
      <c r="A300" t="inlineStr">
        <is>
          <t>36815457</t>
        </is>
      </c>
      <c r="B300" t="inlineStr">
        <is>
          <t>PRODUCTO 54483C</t>
        </is>
      </c>
      <c r="C300" t="inlineStr">
        <is>
          <t>Jockey Plaza</t>
        </is>
      </c>
      <c r="D300" t="n">
        <v>1</v>
      </c>
      <c r="E300" t="n">
        <v>0</v>
      </c>
      <c r="F300" t="n">
        <v>0</v>
      </c>
      <c r="G300" t="n">
        <v>0</v>
      </c>
      <c r="H300">
        <f>AVERAGE(D7857:G7857)</f>
        <v/>
      </c>
    </row>
    <row r="301">
      <c r="A301" t="inlineStr">
        <is>
          <t>36815457</t>
        </is>
      </c>
      <c r="B301" t="inlineStr">
        <is>
          <t>PRODUCTO 54483C</t>
        </is>
      </c>
      <c r="C301" t="inlineStr">
        <is>
          <t>Salaverry</t>
        </is>
      </c>
      <c r="D301" t="n">
        <v>0</v>
      </c>
      <c r="E301" t="n">
        <v>0</v>
      </c>
      <c r="F301" t="n">
        <v>0</v>
      </c>
      <c r="G301" t="n">
        <v>0</v>
      </c>
      <c r="H301">
        <f>AVERAGE(D7858:G7858)</f>
        <v/>
      </c>
    </row>
    <row r="302">
      <c r="A302" t="inlineStr">
        <is>
          <t>36815567</t>
        </is>
      </c>
      <c r="B302" t="inlineStr">
        <is>
          <t>PRODUCTO 609536</t>
        </is>
      </c>
      <c r="C302" t="inlineStr">
        <is>
          <t>San Borja</t>
        </is>
      </c>
      <c r="D302" t="n">
        <v>0</v>
      </c>
      <c r="E302" t="n">
        <v>0</v>
      </c>
      <c r="F302" t="n">
        <v>0</v>
      </c>
      <c r="G302" t="n">
        <v>0</v>
      </c>
      <c r="H302">
        <f>AVERAGE(D7907:G7907)</f>
        <v/>
      </c>
    </row>
    <row r="303">
      <c r="A303" t="inlineStr">
        <is>
          <t>36815649</t>
        </is>
      </c>
      <c r="B303" t="inlineStr">
        <is>
          <t>PRODUCTO C23D81</t>
        </is>
      </c>
      <c r="C303" t="inlineStr">
        <is>
          <t>San Miguel</t>
        </is>
      </c>
      <c r="D303" t="n">
        <v>0</v>
      </c>
      <c r="E303" t="n">
        <v>0</v>
      </c>
      <c r="F303" t="n">
        <v>0</v>
      </c>
      <c r="G303" t="n">
        <v>0</v>
      </c>
      <c r="H303">
        <f>AVERAGE(D7930:G7930)</f>
        <v/>
      </c>
    </row>
    <row r="304">
      <c r="A304" t="inlineStr">
        <is>
          <t>36826232</t>
        </is>
      </c>
      <c r="B304" t="inlineStr">
        <is>
          <t>PRODUCTO 78AC29</t>
        </is>
      </c>
      <c r="C304" t="inlineStr">
        <is>
          <t>Jockey Plaza</t>
        </is>
      </c>
      <c r="D304" t="n">
        <v>0</v>
      </c>
      <c r="E304" t="n">
        <v>0</v>
      </c>
      <c r="F304" t="n">
        <v>0</v>
      </c>
      <c r="G304" t="n">
        <v>0</v>
      </c>
      <c r="H304">
        <f>AVERAGE(D7970:G7970)</f>
        <v/>
      </c>
    </row>
    <row r="305">
      <c r="A305" t="inlineStr">
        <is>
          <t>36831587</t>
        </is>
      </c>
      <c r="B305" t="inlineStr">
        <is>
          <t>PRODUCTO 253410</t>
        </is>
      </c>
      <c r="C305" t="inlineStr">
        <is>
          <t>Jockey Plaza</t>
        </is>
      </c>
      <c r="D305" t="n">
        <v>0</v>
      </c>
      <c r="E305" t="n">
        <v>0</v>
      </c>
      <c r="F305" t="n">
        <v>0</v>
      </c>
      <c r="G305" t="n">
        <v>0</v>
      </c>
      <c r="H305">
        <f>AVERAGE(D8031:G8031)</f>
        <v/>
      </c>
    </row>
    <row r="306">
      <c r="A306" t="inlineStr">
        <is>
          <t>36831587</t>
        </is>
      </c>
      <c r="B306" t="inlineStr">
        <is>
          <t>PRODUCTO 253410</t>
        </is>
      </c>
      <c r="C306" t="inlineStr">
        <is>
          <t>Miraflores</t>
        </is>
      </c>
      <c r="D306" t="n">
        <v>1</v>
      </c>
      <c r="E306" t="n">
        <v>0</v>
      </c>
      <c r="F306" t="n">
        <v>0</v>
      </c>
      <c r="G306" t="n">
        <v>0</v>
      </c>
      <c r="H306">
        <f>AVERAGE(D8032:G8032)</f>
        <v/>
      </c>
    </row>
    <row r="307">
      <c r="A307" t="inlineStr">
        <is>
          <t>36831597</t>
        </is>
      </c>
      <c r="B307" t="inlineStr">
        <is>
          <t>PRODUCTO 825A9B</t>
        </is>
      </c>
      <c r="C307" t="inlineStr">
        <is>
          <t>Jockey Plaza</t>
        </is>
      </c>
      <c r="D307" t="n">
        <v>0</v>
      </c>
      <c r="E307" t="n">
        <v>0</v>
      </c>
      <c r="F307" t="n">
        <v>0</v>
      </c>
      <c r="G307" t="n">
        <v>0</v>
      </c>
      <c r="H307">
        <f>AVERAGE(D8036:G8036)</f>
        <v/>
      </c>
    </row>
    <row r="308">
      <c r="A308" t="inlineStr">
        <is>
          <t>36831597</t>
        </is>
      </c>
      <c r="B308" t="inlineStr">
        <is>
          <t>PRODUCTO 825A9B</t>
        </is>
      </c>
      <c r="C308" t="inlineStr">
        <is>
          <t>Miraflores</t>
        </is>
      </c>
      <c r="D308" t="n">
        <v>0</v>
      </c>
      <c r="E308" t="n">
        <v>0</v>
      </c>
      <c r="F308" t="n">
        <v>0</v>
      </c>
      <c r="G308" t="n">
        <v>0</v>
      </c>
      <c r="H308">
        <f>AVERAGE(D8037:G8037)</f>
        <v/>
      </c>
    </row>
    <row r="309">
      <c r="A309" t="inlineStr">
        <is>
          <t>36831622</t>
        </is>
      </c>
      <c r="B309" t="inlineStr">
        <is>
          <t>PRODUCTO 6C24C7</t>
        </is>
      </c>
      <c r="C309" t="inlineStr">
        <is>
          <t>Jockey Plaza</t>
        </is>
      </c>
      <c r="D309" t="n">
        <v>0</v>
      </c>
      <c r="E309" t="n">
        <v>0</v>
      </c>
      <c r="F309" t="n">
        <v>0</v>
      </c>
      <c r="G309" t="n">
        <v>0</v>
      </c>
      <c r="H309">
        <f>AVERAGE(D8047:G8047)</f>
        <v/>
      </c>
    </row>
    <row r="310">
      <c r="A310" t="inlineStr">
        <is>
          <t>36831622</t>
        </is>
      </c>
      <c r="B310" t="inlineStr">
        <is>
          <t>PRODUCTO 6C24C7</t>
        </is>
      </c>
      <c r="C310" t="inlineStr">
        <is>
          <t>Miraflores</t>
        </is>
      </c>
      <c r="D310" t="n">
        <v>0</v>
      </c>
      <c r="E310" t="n">
        <v>0</v>
      </c>
      <c r="F310" t="n">
        <v>0</v>
      </c>
      <c r="G310" t="n">
        <v>0</v>
      </c>
      <c r="H310">
        <f>AVERAGE(D8048:G8048)</f>
        <v/>
      </c>
    </row>
    <row r="311">
      <c r="A311" t="inlineStr">
        <is>
          <t>36831622</t>
        </is>
      </c>
      <c r="B311" t="inlineStr">
        <is>
          <t>PRODUCTO 6C24C7</t>
        </is>
      </c>
      <c r="C311" t="inlineStr">
        <is>
          <t>Salaverry</t>
        </is>
      </c>
      <c r="D311" t="n">
        <v>0</v>
      </c>
      <c r="E311" t="n">
        <v>0</v>
      </c>
      <c r="F311" t="n">
        <v>0</v>
      </c>
      <c r="G311" t="n">
        <v>0</v>
      </c>
      <c r="H311">
        <f>AVERAGE(D8049:G8049)</f>
        <v/>
      </c>
    </row>
    <row r="312">
      <c r="A312" t="inlineStr">
        <is>
          <t>36831726</t>
        </is>
      </c>
      <c r="B312" t="inlineStr">
        <is>
          <t>PRODUCTO B35FE9</t>
        </is>
      </c>
      <c r="C312" t="inlineStr">
        <is>
          <t>Jockey Plaza</t>
        </is>
      </c>
      <c r="D312" t="n">
        <v>0</v>
      </c>
      <c r="E312" t="n">
        <v>0</v>
      </c>
      <c r="F312" t="n">
        <v>0</v>
      </c>
      <c r="G312" t="n">
        <v>0</v>
      </c>
      <c r="H312">
        <f>AVERAGE(D8084:G8084)</f>
        <v/>
      </c>
    </row>
    <row r="313">
      <c r="A313" t="inlineStr">
        <is>
          <t>36831726</t>
        </is>
      </c>
      <c r="B313" t="inlineStr">
        <is>
          <t>PRODUCTO B35FE9</t>
        </is>
      </c>
      <c r="C313" t="inlineStr">
        <is>
          <t>Miraflores</t>
        </is>
      </c>
      <c r="D313" t="n">
        <v>0</v>
      </c>
      <c r="E313" t="n">
        <v>0</v>
      </c>
      <c r="F313" t="n">
        <v>0</v>
      </c>
      <c r="G313" t="n">
        <v>0</v>
      </c>
      <c r="H313">
        <f>AVERAGE(D8085:G8085)</f>
        <v/>
      </c>
    </row>
    <row r="314">
      <c r="A314" t="inlineStr">
        <is>
          <t>36851426</t>
        </is>
      </c>
      <c r="B314" t="inlineStr">
        <is>
          <t>PRODUCTO 344E62</t>
        </is>
      </c>
      <c r="C314" t="inlineStr">
        <is>
          <t>Jockey Plaza</t>
        </is>
      </c>
      <c r="D314" t="n">
        <v>2</v>
      </c>
      <c r="E314" t="n">
        <v>1</v>
      </c>
      <c r="F314" t="n">
        <v>2</v>
      </c>
      <c r="G314" t="n">
        <v>0</v>
      </c>
      <c r="H314">
        <f>AVERAGE(D8110:G8110)</f>
        <v/>
      </c>
    </row>
    <row r="315">
      <c r="A315" t="inlineStr">
        <is>
          <t>36851426</t>
        </is>
      </c>
      <c r="B315" t="inlineStr">
        <is>
          <t>PRODUCTO 344E62</t>
        </is>
      </c>
      <c r="C315" t="inlineStr">
        <is>
          <t>Piura</t>
        </is>
      </c>
      <c r="D315" t="n">
        <v>2</v>
      </c>
      <c r="E315" t="n">
        <v>1</v>
      </c>
      <c r="F315" t="n">
        <v>2</v>
      </c>
      <c r="G315" t="n">
        <v>0</v>
      </c>
      <c r="H315">
        <f>AVERAGE(D8116:G8116)</f>
        <v/>
      </c>
    </row>
    <row r="316">
      <c r="A316" t="inlineStr">
        <is>
          <t>36877652</t>
        </is>
      </c>
      <c r="B316" t="inlineStr">
        <is>
          <t>PRODUCTO 57493C</t>
        </is>
      </c>
      <c r="C316" t="inlineStr">
        <is>
          <t>Miraflores</t>
        </is>
      </c>
      <c r="D316" t="n">
        <v>0</v>
      </c>
      <c r="E316" t="n">
        <v>0</v>
      </c>
      <c r="F316" t="n">
        <v>0</v>
      </c>
      <c r="G316" t="n">
        <v>0</v>
      </c>
      <c r="H316">
        <f>AVERAGE(D8131:G8131)</f>
        <v/>
      </c>
    </row>
    <row r="317">
      <c r="A317" t="inlineStr">
        <is>
          <t>36877652</t>
        </is>
      </c>
      <c r="B317" t="inlineStr">
        <is>
          <t>PRODUCTO 57493C</t>
        </is>
      </c>
      <c r="C317" t="inlineStr">
        <is>
          <t>Piura</t>
        </is>
      </c>
      <c r="D317" t="n">
        <v>0</v>
      </c>
      <c r="E317" t="n">
        <v>0</v>
      </c>
      <c r="F317" t="n">
        <v>0</v>
      </c>
      <c r="G317" t="n">
        <v>0</v>
      </c>
      <c r="H317">
        <f>AVERAGE(D8134:G8134)</f>
        <v/>
      </c>
    </row>
    <row r="318">
      <c r="A318" t="inlineStr">
        <is>
          <t>36907317</t>
        </is>
      </c>
      <c r="B318" t="inlineStr">
        <is>
          <t>PRODUCTO 45DEBE</t>
        </is>
      </c>
      <c r="C318" t="inlineStr">
        <is>
          <t>Jockey Plaza</t>
        </is>
      </c>
      <c r="D318" t="n">
        <v>0</v>
      </c>
      <c r="E318" t="n">
        <v>0</v>
      </c>
      <c r="F318" t="n">
        <v>0</v>
      </c>
      <c r="G318" t="n">
        <v>0</v>
      </c>
      <c r="H318">
        <f>AVERAGE(D8281:G8281)</f>
        <v/>
      </c>
    </row>
    <row r="319">
      <c r="A319" t="inlineStr">
        <is>
          <t>36907317</t>
        </is>
      </c>
      <c r="B319" t="inlineStr">
        <is>
          <t>PRODUCTO 45DEBE</t>
        </is>
      </c>
      <c r="C319" t="inlineStr">
        <is>
          <t>Miraflores</t>
        </is>
      </c>
      <c r="D319" t="n">
        <v>0</v>
      </c>
      <c r="E319" t="n">
        <v>0</v>
      </c>
      <c r="F319" t="n">
        <v>0</v>
      </c>
      <c r="G319" t="n">
        <v>0</v>
      </c>
      <c r="H319">
        <f>AVERAGE(D8282:G8282)</f>
        <v/>
      </c>
    </row>
    <row r="320">
      <c r="A320" t="inlineStr">
        <is>
          <t>36907317</t>
        </is>
      </c>
      <c r="B320" t="inlineStr">
        <is>
          <t>PRODUCTO 45DEBE</t>
        </is>
      </c>
      <c r="C320" t="inlineStr">
        <is>
          <t>Salaverry</t>
        </is>
      </c>
      <c r="D320" t="n">
        <v>0</v>
      </c>
      <c r="E320" t="n">
        <v>0</v>
      </c>
      <c r="F320" t="n">
        <v>0</v>
      </c>
      <c r="G320" t="n">
        <v>0</v>
      </c>
      <c r="H320">
        <f>AVERAGE(D8285:G8285)</f>
        <v/>
      </c>
    </row>
    <row r="321">
      <c r="A321" t="inlineStr">
        <is>
          <t>36907376</t>
        </is>
      </c>
      <c r="B321" t="inlineStr">
        <is>
          <t>PRODUCTO 58CDEC</t>
        </is>
      </c>
      <c r="C321" t="inlineStr">
        <is>
          <t>Salaverry</t>
        </is>
      </c>
      <c r="D321" t="n">
        <v>0</v>
      </c>
      <c r="E321" t="n">
        <v>0</v>
      </c>
      <c r="F321" t="n">
        <v>0</v>
      </c>
      <c r="G321" t="n">
        <v>0</v>
      </c>
      <c r="H321">
        <f>AVERAGE(D8319:G8319)</f>
        <v/>
      </c>
    </row>
    <row r="322">
      <c r="A322" t="inlineStr">
        <is>
          <t>36907376</t>
        </is>
      </c>
      <c r="B322" t="inlineStr">
        <is>
          <t>PRODUCTO 58CDEC</t>
        </is>
      </c>
      <c r="C322" t="inlineStr">
        <is>
          <t>San Borja</t>
        </is>
      </c>
      <c r="D322" t="n">
        <v>0</v>
      </c>
      <c r="E322" t="n">
        <v>0</v>
      </c>
      <c r="F322" t="n">
        <v>0</v>
      </c>
      <c r="G322" t="n">
        <v>0</v>
      </c>
      <c r="H322">
        <f>AVERAGE(D8320:G8320)</f>
        <v/>
      </c>
    </row>
    <row r="323">
      <c r="A323" t="inlineStr">
        <is>
          <t>36908647</t>
        </is>
      </c>
      <c r="B323" t="inlineStr">
        <is>
          <t>PRODUCTO 9CAA97</t>
        </is>
      </c>
      <c r="C323" t="inlineStr">
        <is>
          <t>Jockey Plaza</t>
        </is>
      </c>
      <c r="D323" t="n">
        <v>3</v>
      </c>
      <c r="E323" t="n">
        <v>1</v>
      </c>
      <c r="F323" t="n">
        <v>1</v>
      </c>
      <c r="G323" t="n">
        <v>1</v>
      </c>
      <c r="H323">
        <f>AVERAGE(D8431:G8431)</f>
        <v/>
      </c>
    </row>
    <row r="324">
      <c r="A324" t="inlineStr">
        <is>
          <t>36908647</t>
        </is>
      </c>
      <c r="B324" t="inlineStr">
        <is>
          <t>PRODUCTO 9CAA97</t>
        </is>
      </c>
      <c r="C324" t="inlineStr">
        <is>
          <t>San Miguel</t>
        </is>
      </c>
      <c r="D324" t="n">
        <v>0</v>
      </c>
      <c r="E324" t="n">
        <v>0</v>
      </c>
      <c r="F324" t="n">
        <v>0</v>
      </c>
      <c r="G324" t="n">
        <v>0</v>
      </c>
      <c r="H324">
        <f>AVERAGE(D8432:G8432)</f>
        <v/>
      </c>
    </row>
    <row r="325">
      <c r="A325" t="inlineStr">
        <is>
          <t>36908647</t>
        </is>
      </c>
      <c r="B325" t="inlineStr">
        <is>
          <t>PRODUCTO 9CAA97</t>
        </is>
      </c>
      <c r="C325" t="inlineStr">
        <is>
          <t>Miraflores</t>
        </is>
      </c>
      <c r="D325" t="n">
        <v>0</v>
      </c>
      <c r="E325" t="n">
        <v>0</v>
      </c>
      <c r="F325" t="n">
        <v>0</v>
      </c>
      <c r="G325" t="n">
        <v>0</v>
      </c>
      <c r="H325">
        <f>AVERAGE(D8433:G8433)</f>
        <v/>
      </c>
    </row>
    <row r="326">
      <c r="A326" t="inlineStr">
        <is>
          <t>36908647</t>
        </is>
      </c>
      <c r="B326" t="inlineStr">
        <is>
          <t>PRODUCTO 9CAA97</t>
        </is>
      </c>
      <c r="C326" t="inlineStr">
        <is>
          <t>San Borja</t>
        </is>
      </c>
      <c r="D326" t="n">
        <v>1</v>
      </c>
      <c r="E326" t="n">
        <v>0</v>
      </c>
      <c r="F326" t="n">
        <v>0</v>
      </c>
      <c r="G326" t="n">
        <v>0</v>
      </c>
      <c r="H326">
        <f>AVERAGE(D8440:G8440)</f>
        <v/>
      </c>
    </row>
    <row r="327">
      <c r="A327" t="inlineStr">
        <is>
          <t>36908647</t>
        </is>
      </c>
      <c r="B327" t="inlineStr">
        <is>
          <t>PRODUCTO 9CAA97</t>
        </is>
      </c>
      <c r="C327" t="inlineStr">
        <is>
          <t>Piura</t>
        </is>
      </c>
      <c r="D327" t="n">
        <v>0</v>
      </c>
      <c r="E327" t="n">
        <v>0</v>
      </c>
      <c r="F327" t="n">
        <v>0</v>
      </c>
      <c r="G327" t="n">
        <v>0</v>
      </c>
      <c r="H327">
        <f>AVERAGE(D8443:G8443)</f>
        <v/>
      </c>
    </row>
    <row r="328">
      <c r="A328" t="inlineStr">
        <is>
          <t>36985057</t>
        </is>
      </c>
      <c r="B328" t="inlineStr">
        <is>
          <t>PRODUCTO 95F0BD</t>
        </is>
      </c>
      <c r="C328" t="inlineStr">
        <is>
          <t>Jockey Plaza</t>
        </is>
      </c>
      <c r="D328" t="n">
        <v>0</v>
      </c>
      <c r="E328" t="n">
        <v>0</v>
      </c>
      <c r="F328" t="n">
        <v>0</v>
      </c>
      <c r="G328" t="n">
        <v>0</v>
      </c>
      <c r="H328">
        <f>AVERAGE(D8539:G8539)</f>
        <v/>
      </c>
    </row>
    <row r="329">
      <c r="A329" t="inlineStr">
        <is>
          <t>36985057</t>
        </is>
      </c>
      <c r="B329" t="inlineStr">
        <is>
          <t>PRODUCTO 95F0BD</t>
        </is>
      </c>
      <c r="C329" t="inlineStr">
        <is>
          <t>San Miguel</t>
        </is>
      </c>
      <c r="D329" t="n">
        <v>0</v>
      </c>
      <c r="E329" t="n">
        <v>0</v>
      </c>
      <c r="F329" t="n">
        <v>0</v>
      </c>
      <c r="G329" t="n">
        <v>0</v>
      </c>
      <c r="H329">
        <f>AVERAGE(D8540:G8540)</f>
        <v/>
      </c>
    </row>
    <row r="330">
      <c r="A330" t="inlineStr">
        <is>
          <t>36985057</t>
        </is>
      </c>
      <c r="B330" t="inlineStr">
        <is>
          <t>PRODUCTO 95F0BD</t>
        </is>
      </c>
      <c r="C330" t="inlineStr">
        <is>
          <t>Miraflores</t>
        </is>
      </c>
      <c r="D330" t="n">
        <v>0</v>
      </c>
      <c r="E330" t="n">
        <v>0</v>
      </c>
      <c r="F330" t="n">
        <v>0</v>
      </c>
      <c r="G330" t="n">
        <v>0</v>
      </c>
      <c r="H330">
        <f>AVERAGE(D8541:G8541)</f>
        <v/>
      </c>
    </row>
    <row r="331">
      <c r="A331" t="inlineStr">
        <is>
          <t>36985057</t>
        </is>
      </c>
      <c r="B331" t="inlineStr">
        <is>
          <t>PRODUCTO 95F0BD</t>
        </is>
      </c>
      <c r="C331" t="inlineStr">
        <is>
          <t>Salaverry</t>
        </is>
      </c>
      <c r="D331" t="n">
        <v>0</v>
      </c>
      <c r="E331" t="n">
        <v>0</v>
      </c>
      <c r="F331" t="n">
        <v>0</v>
      </c>
      <c r="G331" t="n">
        <v>0</v>
      </c>
      <c r="H331">
        <f>AVERAGE(D8545:G8545)</f>
        <v/>
      </c>
    </row>
    <row r="332">
      <c r="A332" t="inlineStr">
        <is>
          <t>36985057</t>
        </is>
      </c>
      <c r="B332" t="inlineStr">
        <is>
          <t>PRODUCTO 95F0BD</t>
        </is>
      </c>
      <c r="C332" t="inlineStr">
        <is>
          <t>San Borja</t>
        </is>
      </c>
      <c r="D332" t="n">
        <v>0</v>
      </c>
      <c r="E332" t="n">
        <v>0</v>
      </c>
      <c r="F332" t="n">
        <v>0</v>
      </c>
      <c r="G332" t="n">
        <v>0</v>
      </c>
      <c r="H332">
        <f>AVERAGE(D8546:G8546)</f>
        <v/>
      </c>
    </row>
    <row r="333">
      <c r="A333" t="inlineStr">
        <is>
          <t>37003577</t>
        </is>
      </c>
      <c r="B333" t="inlineStr">
        <is>
          <t>PRODUCTO 5CE6E8</t>
        </is>
      </c>
      <c r="C333" t="inlineStr">
        <is>
          <t>Jockey Plaza</t>
        </is>
      </c>
      <c r="D333" t="n">
        <v>0</v>
      </c>
      <c r="E333" t="n">
        <v>0</v>
      </c>
      <c r="F333" t="n">
        <v>0</v>
      </c>
      <c r="G333" t="n">
        <v>0</v>
      </c>
      <c r="H333">
        <f>AVERAGE(D8580:G8580)</f>
        <v/>
      </c>
    </row>
    <row r="334">
      <c r="A334" t="inlineStr">
        <is>
          <t>37003577</t>
        </is>
      </c>
      <c r="B334" t="inlineStr">
        <is>
          <t>PRODUCTO 5CE6E8</t>
        </is>
      </c>
      <c r="C334" t="inlineStr">
        <is>
          <t>Miraflores</t>
        </is>
      </c>
      <c r="D334" t="n">
        <v>0</v>
      </c>
      <c r="E334" t="n">
        <v>0</v>
      </c>
      <c r="F334" t="n">
        <v>0</v>
      </c>
      <c r="G334" t="n">
        <v>0</v>
      </c>
      <c r="H334">
        <f>AVERAGE(D8581:G8581)</f>
        <v/>
      </c>
    </row>
    <row r="335">
      <c r="A335" t="inlineStr">
        <is>
          <t>37003577</t>
        </is>
      </c>
      <c r="B335" t="inlineStr">
        <is>
          <t>PRODUCTO 5CE6E8</t>
        </is>
      </c>
      <c r="C335" t="inlineStr">
        <is>
          <t>Salaverry</t>
        </is>
      </c>
      <c r="D335" t="n">
        <v>0</v>
      </c>
      <c r="E335" t="n">
        <v>0</v>
      </c>
      <c r="F335" t="n">
        <v>0</v>
      </c>
      <c r="G335" t="n">
        <v>0</v>
      </c>
      <c r="H335">
        <f>AVERAGE(D8585:G8585)</f>
        <v/>
      </c>
    </row>
    <row r="336">
      <c r="A336" t="inlineStr">
        <is>
          <t>37003577</t>
        </is>
      </c>
      <c r="B336" t="inlineStr">
        <is>
          <t>PRODUCTO 5CE6E8</t>
        </is>
      </c>
      <c r="C336" t="inlineStr">
        <is>
          <t>San Borja</t>
        </is>
      </c>
      <c r="D336" t="n">
        <v>0</v>
      </c>
      <c r="E336" t="n">
        <v>0</v>
      </c>
      <c r="F336" t="n">
        <v>0</v>
      </c>
      <c r="G336" t="n">
        <v>0</v>
      </c>
      <c r="H336">
        <f>AVERAGE(D8586:G8586)</f>
        <v/>
      </c>
    </row>
    <row r="337">
      <c r="A337" t="inlineStr">
        <is>
          <t>37004704</t>
        </is>
      </c>
      <c r="B337" t="inlineStr">
        <is>
          <t>PRODUCTO BB31A0</t>
        </is>
      </c>
      <c r="C337" t="inlineStr">
        <is>
          <t>Jockey Plaza</t>
        </is>
      </c>
      <c r="D337" t="n">
        <v>0</v>
      </c>
      <c r="E337" t="n">
        <v>0</v>
      </c>
      <c r="F337" t="n">
        <v>0</v>
      </c>
      <c r="G337" t="n">
        <v>0</v>
      </c>
      <c r="H337">
        <f>AVERAGE(D8632:G8632)</f>
        <v/>
      </c>
    </row>
    <row r="338">
      <c r="A338" t="inlineStr">
        <is>
          <t>37004704</t>
        </is>
      </c>
      <c r="B338" t="inlineStr">
        <is>
          <t>PRODUCTO BB31A0</t>
        </is>
      </c>
      <c r="C338" t="inlineStr">
        <is>
          <t>San Miguel</t>
        </is>
      </c>
      <c r="D338" t="n">
        <v>0</v>
      </c>
      <c r="E338" t="n">
        <v>0</v>
      </c>
      <c r="F338" t="n">
        <v>0</v>
      </c>
      <c r="G338" t="n">
        <v>0</v>
      </c>
      <c r="H338">
        <f>AVERAGE(D8633:G8633)</f>
        <v/>
      </c>
    </row>
    <row r="339">
      <c r="A339" t="inlineStr">
        <is>
          <t>37004704</t>
        </is>
      </c>
      <c r="B339" t="inlineStr">
        <is>
          <t>PRODUCTO BB31A0</t>
        </is>
      </c>
      <c r="C339" t="inlineStr">
        <is>
          <t>Miraflores</t>
        </is>
      </c>
      <c r="D339" t="n">
        <v>0</v>
      </c>
      <c r="E339" t="n">
        <v>0</v>
      </c>
      <c r="F339" t="n">
        <v>0</v>
      </c>
      <c r="G339" t="n">
        <v>0</v>
      </c>
      <c r="H339">
        <f>AVERAGE(D8634:G8634)</f>
        <v/>
      </c>
    </row>
    <row r="340">
      <c r="A340" t="inlineStr">
        <is>
          <t>37004704</t>
        </is>
      </c>
      <c r="B340" t="inlineStr">
        <is>
          <t>PRODUCTO BB31A0</t>
        </is>
      </c>
      <c r="C340" t="inlineStr">
        <is>
          <t>Salaverry</t>
        </is>
      </c>
      <c r="D340" t="n">
        <v>2</v>
      </c>
      <c r="E340" t="n">
        <v>1</v>
      </c>
      <c r="F340" t="n">
        <v>1</v>
      </c>
      <c r="G340" t="n">
        <v>1</v>
      </c>
      <c r="H340">
        <f>AVERAGE(D8638:G8638)</f>
        <v/>
      </c>
    </row>
    <row r="341">
      <c r="A341" t="inlineStr">
        <is>
          <t>37004704</t>
        </is>
      </c>
      <c r="B341" t="inlineStr">
        <is>
          <t>PRODUCTO BB31A0</t>
        </is>
      </c>
      <c r="C341" t="inlineStr">
        <is>
          <t>San Borja</t>
        </is>
      </c>
      <c r="D341" t="n">
        <v>0</v>
      </c>
      <c r="E341" t="n">
        <v>0</v>
      </c>
      <c r="F341" t="n">
        <v>0</v>
      </c>
      <c r="G341" t="n">
        <v>0</v>
      </c>
      <c r="H341">
        <f>AVERAGE(D8639:G8639)</f>
        <v/>
      </c>
    </row>
    <row r="342">
      <c r="A342" t="inlineStr">
        <is>
          <t>37004919</t>
        </is>
      </c>
      <c r="B342" t="inlineStr">
        <is>
          <t>PRODUCTO BBF137</t>
        </is>
      </c>
      <c r="C342" t="inlineStr">
        <is>
          <t>San Miguel</t>
        </is>
      </c>
      <c r="D342" t="n">
        <v>0</v>
      </c>
      <c r="E342" t="n">
        <v>0</v>
      </c>
      <c r="F342" t="n">
        <v>0</v>
      </c>
      <c r="G342" t="n">
        <v>0</v>
      </c>
      <c r="H342">
        <f>AVERAGE(D8668:G8668)</f>
        <v/>
      </c>
    </row>
    <row r="343">
      <c r="A343" t="inlineStr">
        <is>
          <t>37004919</t>
        </is>
      </c>
      <c r="B343" t="inlineStr">
        <is>
          <t>PRODUCTO BBF137</t>
        </is>
      </c>
      <c r="C343" t="inlineStr">
        <is>
          <t>Miraflores</t>
        </is>
      </c>
      <c r="D343" t="n">
        <v>0</v>
      </c>
      <c r="E343" t="n">
        <v>0</v>
      </c>
      <c r="F343" t="n">
        <v>0</v>
      </c>
      <c r="G343" t="n">
        <v>0</v>
      </c>
      <c r="H343">
        <f>AVERAGE(D8669:G8669)</f>
        <v/>
      </c>
    </row>
    <row r="344">
      <c r="A344" t="inlineStr">
        <is>
          <t>37017350</t>
        </is>
      </c>
      <c r="B344" t="inlineStr">
        <is>
          <t>PRODUCTO DC6F81</t>
        </is>
      </c>
      <c r="C344" t="inlineStr">
        <is>
          <t>Jockey Plaza</t>
        </is>
      </c>
      <c r="D344" t="n">
        <v>1</v>
      </c>
      <c r="E344" t="n">
        <v>0</v>
      </c>
      <c r="F344" t="n">
        <v>0</v>
      </c>
      <c r="G344" t="n">
        <v>0</v>
      </c>
      <c r="H344">
        <f>AVERAGE(D8687:G8687)</f>
        <v/>
      </c>
    </row>
    <row r="345">
      <c r="A345" t="inlineStr">
        <is>
          <t>37017350</t>
        </is>
      </c>
      <c r="B345" t="inlineStr">
        <is>
          <t>PRODUCTO DC6F81</t>
        </is>
      </c>
      <c r="C345" t="inlineStr">
        <is>
          <t>San Miguel</t>
        </is>
      </c>
      <c r="D345" t="n">
        <v>1</v>
      </c>
      <c r="E345" t="n">
        <v>0</v>
      </c>
      <c r="F345" t="n">
        <v>0</v>
      </c>
      <c r="G345" t="n">
        <v>0</v>
      </c>
      <c r="H345">
        <f>AVERAGE(D8688:G8688)</f>
        <v/>
      </c>
    </row>
    <row r="346">
      <c r="A346" t="inlineStr">
        <is>
          <t>37018153</t>
        </is>
      </c>
      <c r="B346" t="inlineStr">
        <is>
          <t>PRODUCTO F45A11</t>
        </is>
      </c>
      <c r="C346" t="inlineStr">
        <is>
          <t>Jockey Plaza</t>
        </is>
      </c>
      <c r="D346" t="n">
        <v>0</v>
      </c>
      <c r="E346" t="n">
        <v>0</v>
      </c>
      <c r="F346" t="n">
        <v>0</v>
      </c>
      <c r="G346" t="n">
        <v>0</v>
      </c>
      <c r="H346">
        <f>AVERAGE(D8706:G8706)</f>
        <v/>
      </c>
    </row>
    <row r="347">
      <c r="A347" t="inlineStr">
        <is>
          <t>37018153</t>
        </is>
      </c>
      <c r="B347" t="inlineStr">
        <is>
          <t>PRODUCTO F45A11</t>
        </is>
      </c>
      <c r="C347" t="inlineStr">
        <is>
          <t>San Miguel</t>
        </is>
      </c>
      <c r="D347" t="n">
        <v>1</v>
      </c>
      <c r="E347" t="n">
        <v>1</v>
      </c>
      <c r="F347" t="n">
        <v>1</v>
      </c>
      <c r="G347" t="n">
        <v>2</v>
      </c>
      <c r="H347">
        <f>AVERAGE(D8707:G8707)</f>
        <v/>
      </c>
    </row>
    <row r="348">
      <c r="A348" t="inlineStr">
        <is>
          <t>37018153</t>
        </is>
      </c>
      <c r="B348" t="inlineStr">
        <is>
          <t>PRODUCTO F45A11</t>
        </is>
      </c>
      <c r="C348" t="inlineStr">
        <is>
          <t>Miraflores</t>
        </is>
      </c>
      <c r="D348" t="n">
        <v>0</v>
      </c>
      <c r="E348" t="n">
        <v>0</v>
      </c>
      <c r="F348" t="n">
        <v>0</v>
      </c>
      <c r="G348" t="n">
        <v>0</v>
      </c>
      <c r="H348">
        <f>AVERAGE(D8708:G8708)</f>
        <v/>
      </c>
    </row>
    <row r="349">
      <c r="A349" t="inlineStr">
        <is>
          <t>37018153</t>
        </is>
      </c>
      <c r="B349" t="inlineStr">
        <is>
          <t>PRODUCTO F45A11</t>
        </is>
      </c>
      <c r="C349" t="inlineStr">
        <is>
          <t>Salaverry</t>
        </is>
      </c>
      <c r="D349" t="n">
        <v>0</v>
      </c>
      <c r="E349" t="n">
        <v>0</v>
      </c>
      <c r="F349" t="n">
        <v>0</v>
      </c>
      <c r="G349" t="n">
        <v>0</v>
      </c>
      <c r="H349">
        <f>AVERAGE(D8716:G8716)</f>
        <v/>
      </c>
    </row>
    <row r="350">
      <c r="A350" t="inlineStr">
        <is>
          <t>37018153</t>
        </is>
      </c>
      <c r="B350" t="inlineStr">
        <is>
          <t>PRODUCTO F45A11</t>
        </is>
      </c>
      <c r="C350" t="inlineStr">
        <is>
          <t>San Borja</t>
        </is>
      </c>
      <c r="D350" t="n">
        <v>2</v>
      </c>
      <c r="E350" t="n">
        <v>1</v>
      </c>
      <c r="F350" t="n">
        <v>2</v>
      </c>
      <c r="G350" t="n">
        <v>4</v>
      </c>
      <c r="H350">
        <f>AVERAGE(D8717:G8717)</f>
        <v/>
      </c>
    </row>
    <row r="351">
      <c r="A351" t="inlineStr">
        <is>
          <t>37018153</t>
        </is>
      </c>
      <c r="B351" t="inlineStr">
        <is>
          <t>PRODUCTO F45A11</t>
        </is>
      </c>
      <c r="C351" t="inlineStr">
        <is>
          <t>Piura</t>
        </is>
      </c>
      <c r="D351" t="n">
        <v>0</v>
      </c>
      <c r="E351" t="n">
        <v>0</v>
      </c>
      <c r="F351" t="n">
        <v>0</v>
      </c>
      <c r="G351" t="n">
        <v>0</v>
      </c>
      <c r="H351">
        <f>AVERAGE(D8722:G8722)</f>
        <v/>
      </c>
    </row>
    <row r="352">
      <c r="A352" t="inlineStr">
        <is>
          <t>37018164</t>
        </is>
      </c>
      <c r="B352" t="inlineStr">
        <is>
          <t>PRODUCTO F21581</t>
        </is>
      </c>
      <c r="C352" t="inlineStr">
        <is>
          <t>Jockey Plaza</t>
        </is>
      </c>
      <c r="D352" t="n">
        <v>0</v>
      </c>
      <c r="E352" t="n">
        <v>0</v>
      </c>
      <c r="F352" t="n">
        <v>0</v>
      </c>
      <c r="G352" t="n">
        <v>0</v>
      </c>
      <c r="H352">
        <f>AVERAGE(D8729:G8729)</f>
        <v/>
      </c>
    </row>
    <row r="353">
      <c r="A353" t="inlineStr">
        <is>
          <t>37018164</t>
        </is>
      </c>
      <c r="B353" t="inlineStr">
        <is>
          <t>PRODUCTO F21581</t>
        </is>
      </c>
      <c r="C353" t="inlineStr">
        <is>
          <t>San Miguel</t>
        </is>
      </c>
      <c r="D353" t="n">
        <v>1</v>
      </c>
      <c r="E353" t="n">
        <v>2</v>
      </c>
      <c r="F353" t="n">
        <v>4</v>
      </c>
      <c r="G353" t="n">
        <v>1</v>
      </c>
      <c r="H353">
        <f>AVERAGE(D8730:G8730)</f>
        <v/>
      </c>
    </row>
    <row r="354">
      <c r="A354" t="inlineStr">
        <is>
          <t>37018164</t>
        </is>
      </c>
      <c r="B354" t="inlineStr">
        <is>
          <t>PRODUCTO F21581</t>
        </is>
      </c>
      <c r="C354" t="inlineStr">
        <is>
          <t>Miraflores</t>
        </is>
      </c>
      <c r="D354" t="n">
        <v>0</v>
      </c>
      <c r="E354" t="n">
        <v>0</v>
      </c>
      <c r="F354" t="n">
        <v>0</v>
      </c>
      <c r="G354" t="n">
        <v>0</v>
      </c>
      <c r="H354">
        <f>AVERAGE(D8731:G8731)</f>
        <v/>
      </c>
    </row>
    <row r="355">
      <c r="A355" t="inlineStr">
        <is>
          <t>37018164</t>
        </is>
      </c>
      <c r="B355" t="inlineStr">
        <is>
          <t>PRODUCTO F21581</t>
        </is>
      </c>
      <c r="C355" t="inlineStr">
        <is>
          <t>Salaverry</t>
        </is>
      </c>
      <c r="D355" t="n">
        <v>0</v>
      </c>
      <c r="E355" t="n">
        <v>0</v>
      </c>
      <c r="F355" t="n">
        <v>0</v>
      </c>
      <c r="G355" t="n">
        <v>0</v>
      </c>
      <c r="H355">
        <f>AVERAGE(D8740:G8740)</f>
        <v/>
      </c>
    </row>
    <row r="356">
      <c r="A356" t="inlineStr">
        <is>
          <t>37018164</t>
        </is>
      </c>
      <c r="B356" t="inlineStr">
        <is>
          <t>PRODUCTO F21581</t>
        </is>
      </c>
      <c r="C356" t="inlineStr">
        <is>
          <t>San Borja</t>
        </is>
      </c>
      <c r="D356" t="n">
        <v>0</v>
      </c>
      <c r="E356" t="n">
        <v>0</v>
      </c>
      <c r="F356" t="n">
        <v>0</v>
      </c>
      <c r="G356" t="n">
        <v>0</v>
      </c>
      <c r="H356">
        <f>AVERAGE(D8741:G8741)</f>
        <v/>
      </c>
    </row>
    <row r="357">
      <c r="A357" t="inlineStr">
        <is>
          <t>37018331</t>
        </is>
      </c>
      <c r="B357" t="inlineStr">
        <is>
          <t>PRODUCTO 796CF0</t>
        </is>
      </c>
      <c r="C357" t="inlineStr">
        <is>
          <t>Jockey Plaza</t>
        </is>
      </c>
      <c r="D357" t="n">
        <v>0</v>
      </c>
      <c r="E357" t="n">
        <v>0</v>
      </c>
      <c r="F357" t="n">
        <v>0</v>
      </c>
      <c r="G357" t="n">
        <v>0</v>
      </c>
      <c r="H357">
        <f>AVERAGE(D8811:G8811)</f>
        <v/>
      </c>
    </row>
    <row r="358">
      <c r="A358" t="inlineStr">
        <is>
          <t>37018331</t>
        </is>
      </c>
      <c r="B358" t="inlineStr">
        <is>
          <t>PRODUCTO 796CF0</t>
        </is>
      </c>
      <c r="C358" t="inlineStr">
        <is>
          <t>San Miguel</t>
        </is>
      </c>
      <c r="D358" t="n">
        <v>0</v>
      </c>
      <c r="E358" t="n">
        <v>0</v>
      </c>
      <c r="F358" t="n">
        <v>0</v>
      </c>
      <c r="G358" t="n">
        <v>0</v>
      </c>
      <c r="H358">
        <f>AVERAGE(D8812:G8812)</f>
        <v/>
      </c>
    </row>
    <row r="359">
      <c r="A359" t="inlineStr">
        <is>
          <t>37018331</t>
        </is>
      </c>
      <c r="B359" t="inlineStr">
        <is>
          <t>PRODUCTO 796CF0</t>
        </is>
      </c>
      <c r="C359" t="inlineStr">
        <is>
          <t>Miraflores</t>
        </is>
      </c>
      <c r="D359" t="n">
        <v>0</v>
      </c>
      <c r="E359" t="n">
        <v>0</v>
      </c>
      <c r="F359" t="n">
        <v>0</v>
      </c>
      <c r="G359" t="n">
        <v>0</v>
      </c>
      <c r="H359">
        <f>AVERAGE(D8813:G8813)</f>
        <v/>
      </c>
    </row>
    <row r="360">
      <c r="A360" t="inlineStr">
        <is>
          <t>37018331</t>
        </is>
      </c>
      <c r="B360" t="inlineStr">
        <is>
          <t>PRODUCTO 796CF0</t>
        </is>
      </c>
      <c r="C360" t="inlineStr">
        <is>
          <t>Salaverry</t>
        </is>
      </c>
      <c r="D360" t="n">
        <v>0</v>
      </c>
      <c r="E360" t="n">
        <v>0</v>
      </c>
      <c r="F360" t="n">
        <v>0</v>
      </c>
      <c r="G360" t="n">
        <v>0</v>
      </c>
      <c r="H360">
        <f>AVERAGE(D8817:G8817)</f>
        <v/>
      </c>
    </row>
    <row r="361">
      <c r="A361" t="inlineStr">
        <is>
          <t>37018331</t>
        </is>
      </c>
      <c r="B361" t="inlineStr">
        <is>
          <t>PRODUCTO 796CF0</t>
        </is>
      </c>
      <c r="C361" t="inlineStr">
        <is>
          <t>San Borja</t>
        </is>
      </c>
      <c r="D361" t="n">
        <v>1</v>
      </c>
      <c r="E361" t="n">
        <v>2</v>
      </c>
      <c r="F361" t="n">
        <v>1</v>
      </c>
      <c r="G361" t="n">
        <v>1</v>
      </c>
      <c r="H361">
        <f>AVERAGE(D8818:G8818)</f>
        <v/>
      </c>
    </row>
    <row r="362">
      <c r="A362" t="inlineStr">
        <is>
          <t>37018388</t>
        </is>
      </c>
      <c r="B362" t="inlineStr">
        <is>
          <t>PRODUCTO 30C080</t>
        </is>
      </c>
      <c r="C362" t="inlineStr">
        <is>
          <t>Jockey Plaza</t>
        </is>
      </c>
      <c r="D362" t="n">
        <v>0</v>
      </c>
      <c r="E362" t="n">
        <v>0</v>
      </c>
      <c r="F362" t="n">
        <v>0</v>
      </c>
      <c r="G362" t="n">
        <v>0</v>
      </c>
      <c r="H362">
        <f>AVERAGE(D8848:G8848)</f>
        <v/>
      </c>
    </row>
    <row r="363">
      <c r="A363" t="inlineStr">
        <is>
          <t>37018388</t>
        </is>
      </c>
      <c r="B363" t="inlineStr">
        <is>
          <t>PRODUCTO 30C080</t>
        </is>
      </c>
      <c r="C363" t="inlineStr">
        <is>
          <t>San Miguel</t>
        </is>
      </c>
      <c r="D363" t="n">
        <v>0</v>
      </c>
      <c r="E363" t="n">
        <v>0</v>
      </c>
      <c r="F363" t="n">
        <v>0</v>
      </c>
      <c r="G363" t="n">
        <v>0</v>
      </c>
      <c r="H363">
        <f>AVERAGE(D8849:G8849)</f>
        <v/>
      </c>
    </row>
    <row r="364">
      <c r="A364" t="inlineStr">
        <is>
          <t>37018388</t>
        </is>
      </c>
      <c r="B364" t="inlineStr">
        <is>
          <t>PRODUCTO 30C080</t>
        </is>
      </c>
      <c r="C364" t="inlineStr">
        <is>
          <t>Miraflores</t>
        </is>
      </c>
      <c r="D364" t="n">
        <v>0</v>
      </c>
      <c r="E364" t="n">
        <v>0</v>
      </c>
      <c r="F364" t="n">
        <v>0</v>
      </c>
      <c r="G364" t="n">
        <v>0</v>
      </c>
      <c r="H364">
        <f>AVERAGE(D8850:G8850)</f>
        <v/>
      </c>
    </row>
    <row r="365">
      <c r="A365" t="inlineStr">
        <is>
          <t>37018388</t>
        </is>
      </c>
      <c r="B365" t="inlineStr">
        <is>
          <t>PRODUCTO 30C080</t>
        </is>
      </c>
      <c r="C365" t="inlineStr">
        <is>
          <t>Salaverry</t>
        </is>
      </c>
      <c r="D365" t="n">
        <v>1</v>
      </c>
      <c r="E365" t="n">
        <v>1</v>
      </c>
      <c r="F365" t="n">
        <v>2</v>
      </c>
      <c r="G365" t="n">
        <v>3</v>
      </c>
      <c r="H365">
        <f>AVERAGE(D8855:G8855)</f>
        <v/>
      </c>
    </row>
    <row r="366">
      <c r="A366" t="inlineStr">
        <is>
          <t>37018388</t>
        </is>
      </c>
      <c r="B366" t="inlineStr">
        <is>
          <t>PRODUCTO 30C080</t>
        </is>
      </c>
      <c r="C366" t="inlineStr">
        <is>
          <t>San Borja</t>
        </is>
      </c>
      <c r="D366" t="n">
        <v>0</v>
      </c>
      <c r="E366" t="n">
        <v>0</v>
      </c>
      <c r="F366" t="n">
        <v>0</v>
      </c>
      <c r="G366" t="n">
        <v>0</v>
      </c>
      <c r="H366">
        <f>AVERAGE(D8856:G8856)</f>
        <v/>
      </c>
    </row>
    <row r="367">
      <c r="A367" t="inlineStr">
        <is>
          <t>37018438</t>
        </is>
      </c>
      <c r="B367" t="inlineStr">
        <is>
          <t>PRODUCTO 4749C0</t>
        </is>
      </c>
      <c r="C367" t="inlineStr">
        <is>
          <t>Jockey Plaza</t>
        </is>
      </c>
      <c r="D367" t="n">
        <v>1</v>
      </c>
      <c r="E367" t="n">
        <v>1</v>
      </c>
      <c r="F367" t="n">
        <v>1</v>
      </c>
      <c r="G367" t="n">
        <v>1</v>
      </c>
      <c r="H367">
        <f>AVERAGE(D8873:G8873)</f>
        <v/>
      </c>
    </row>
    <row r="368">
      <c r="A368" t="inlineStr">
        <is>
          <t>37018438</t>
        </is>
      </c>
      <c r="B368" t="inlineStr">
        <is>
          <t>PRODUCTO 4749C0</t>
        </is>
      </c>
      <c r="C368" t="inlineStr">
        <is>
          <t>San Miguel</t>
        </is>
      </c>
      <c r="D368" t="n">
        <v>1</v>
      </c>
      <c r="E368" t="n">
        <v>1</v>
      </c>
      <c r="F368" t="n">
        <v>1</v>
      </c>
      <c r="G368" t="n">
        <v>1</v>
      </c>
      <c r="H368">
        <f>AVERAGE(D8874:G8874)</f>
        <v/>
      </c>
    </row>
    <row r="369">
      <c r="A369" t="inlineStr">
        <is>
          <t>37018438</t>
        </is>
      </c>
      <c r="B369" t="inlineStr">
        <is>
          <t>PRODUCTO 4749C0</t>
        </is>
      </c>
      <c r="C369" t="inlineStr">
        <is>
          <t>Miraflores</t>
        </is>
      </c>
      <c r="D369" t="n">
        <v>0</v>
      </c>
      <c r="E369" t="n">
        <v>0</v>
      </c>
      <c r="F369" t="n">
        <v>0</v>
      </c>
      <c r="G369" t="n">
        <v>0</v>
      </c>
      <c r="H369">
        <f>AVERAGE(D8875:G8875)</f>
        <v/>
      </c>
    </row>
    <row r="370">
      <c r="A370" t="inlineStr">
        <is>
          <t>37018438</t>
        </is>
      </c>
      <c r="B370" t="inlineStr">
        <is>
          <t>PRODUCTO 4749C0</t>
        </is>
      </c>
      <c r="C370" t="inlineStr">
        <is>
          <t>Salaverry</t>
        </is>
      </c>
      <c r="D370" t="n">
        <v>1</v>
      </c>
      <c r="E370" t="n">
        <v>1</v>
      </c>
      <c r="F370" t="n">
        <v>1</v>
      </c>
      <c r="G370" t="n">
        <v>1</v>
      </c>
      <c r="H370">
        <f>AVERAGE(D8879:G8879)</f>
        <v/>
      </c>
    </row>
    <row r="371">
      <c r="A371" t="inlineStr">
        <is>
          <t>37018438</t>
        </is>
      </c>
      <c r="B371" t="inlineStr">
        <is>
          <t>PRODUCTO 4749C0</t>
        </is>
      </c>
      <c r="C371" t="inlineStr">
        <is>
          <t>San Borja</t>
        </is>
      </c>
      <c r="D371" t="n">
        <v>0</v>
      </c>
      <c r="E371" t="n">
        <v>0</v>
      </c>
      <c r="F371" t="n">
        <v>0</v>
      </c>
      <c r="G371" t="n">
        <v>0</v>
      </c>
      <c r="H371">
        <f>AVERAGE(D8880:G8880)</f>
        <v/>
      </c>
    </row>
    <row r="372">
      <c r="A372" t="inlineStr">
        <is>
          <t>37027682</t>
        </is>
      </c>
      <c r="B372" t="inlineStr">
        <is>
          <t>PRODUCTO 85E2A9</t>
        </is>
      </c>
      <c r="C372" t="inlineStr">
        <is>
          <t>Jockey Plaza</t>
        </is>
      </c>
      <c r="D372" t="n">
        <v>0</v>
      </c>
      <c r="E372" t="n">
        <v>0</v>
      </c>
      <c r="F372" t="n">
        <v>0</v>
      </c>
      <c r="G372" t="n">
        <v>0</v>
      </c>
      <c r="H372">
        <f>AVERAGE(D8995:G8995)</f>
        <v/>
      </c>
    </row>
    <row r="373">
      <c r="A373" t="inlineStr">
        <is>
          <t>37027682</t>
        </is>
      </c>
      <c r="B373" t="inlineStr">
        <is>
          <t>PRODUCTO 85E2A9</t>
        </is>
      </c>
      <c r="C373" t="inlineStr">
        <is>
          <t>San Miguel</t>
        </is>
      </c>
      <c r="D373" t="n">
        <v>2</v>
      </c>
      <c r="E373" t="n">
        <v>1</v>
      </c>
      <c r="F373" t="n">
        <v>3</v>
      </c>
      <c r="G373" t="n">
        <v>1</v>
      </c>
      <c r="H373">
        <f>AVERAGE(D8996:G8996)</f>
        <v/>
      </c>
    </row>
    <row r="374">
      <c r="A374" t="inlineStr">
        <is>
          <t>37027682</t>
        </is>
      </c>
      <c r="B374" t="inlineStr">
        <is>
          <t>PRODUCTO 85E2A9</t>
        </is>
      </c>
      <c r="C374" t="inlineStr">
        <is>
          <t>Miraflores</t>
        </is>
      </c>
      <c r="D374" t="n">
        <v>0</v>
      </c>
      <c r="E374" t="n">
        <v>0</v>
      </c>
      <c r="F374" t="n">
        <v>0</v>
      </c>
      <c r="G374" t="n">
        <v>0</v>
      </c>
      <c r="H374">
        <f>AVERAGE(D8997:G8997)</f>
        <v/>
      </c>
    </row>
    <row r="375">
      <c r="A375" t="inlineStr">
        <is>
          <t>37027682</t>
        </is>
      </c>
      <c r="B375" t="inlineStr">
        <is>
          <t>PRODUCTO 85E2A9</t>
        </is>
      </c>
      <c r="C375" t="inlineStr">
        <is>
          <t>Salaverry</t>
        </is>
      </c>
      <c r="D375" t="n">
        <v>2</v>
      </c>
      <c r="E375" t="n">
        <v>1</v>
      </c>
      <c r="F375" t="n">
        <v>3</v>
      </c>
      <c r="G375" t="n">
        <v>1</v>
      </c>
      <c r="H375">
        <f>AVERAGE(D9001:G9001)</f>
        <v/>
      </c>
    </row>
    <row r="376">
      <c r="A376" t="inlineStr">
        <is>
          <t>37027682</t>
        </is>
      </c>
      <c r="B376" t="inlineStr">
        <is>
          <t>PRODUCTO 85E2A9</t>
        </is>
      </c>
      <c r="C376" t="inlineStr">
        <is>
          <t>San Borja</t>
        </is>
      </c>
      <c r="D376" t="n">
        <v>0</v>
      </c>
      <c r="E376" t="n">
        <v>0</v>
      </c>
      <c r="F376" t="n">
        <v>0</v>
      </c>
      <c r="G376" t="n">
        <v>0</v>
      </c>
      <c r="H376">
        <f>AVERAGE(D9002:G9002)</f>
        <v/>
      </c>
    </row>
    <row r="377">
      <c r="A377" t="inlineStr">
        <is>
          <t>37055589</t>
        </is>
      </c>
      <c r="B377" t="inlineStr">
        <is>
          <t>PRODUCTO D4ACDB</t>
        </is>
      </c>
      <c r="C377" t="inlineStr">
        <is>
          <t>San Miguel</t>
        </is>
      </c>
      <c r="D377" t="n">
        <v>1</v>
      </c>
      <c r="E377" t="n">
        <v>2</v>
      </c>
      <c r="F377" t="n">
        <v>2</v>
      </c>
      <c r="G377" t="n">
        <v>1</v>
      </c>
      <c r="H377">
        <f>AVERAGE(D9009:G9009)</f>
        <v/>
      </c>
    </row>
    <row r="378">
      <c r="A378" t="inlineStr">
        <is>
          <t>37055589</t>
        </is>
      </c>
      <c r="B378" t="inlineStr">
        <is>
          <t>PRODUCTO D4ACDB</t>
        </is>
      </c>
      <c r="C378" t="inlineStr">
        <is>
          <t>Miraflores</t>
        </is>
      </c>
      <c r="D378" t="n">
        <v>0</v>
      </c>
      <c r="E378" t="n">
        <v>0</v>
      </c>
      <c r="F378" t="n">
        <v>0</v>
      </c>
      <c r="G378" t="n">
        <v>0</v>
      </c>
      <c r="H378">
        <f>AVERAGE(D9010:G9010)</f>
        <v/>
      </c>
    </row>
    <row r="379">
      <c r="A379" t="inlineStr">
        <is>
          <t>37055589</t>
        </is>
      </c>
      <c r="B379" t="inlineStr">
        <is>
          <t>PRODUCTO D4ACDB</t>
        </is>
      </c>
      <c r="C379" t="inlineStr">
        <is>
          <t>Salaverry</t>
        </is>
      </c>
      <c r="D379" t="n">
        <v>0</v>
      </c>
      <c r="E379" t="n">
        <v>0</v>
      </c>
      <c r="F379" t="n">
        <v>0</v>
      </c>
      <c r="G379" t="n">
        <v>0</v>
      </c>
      <c r="H379">
        <f>AVERAGE(D9016:G9016)</f>
        <v/>
      </c>
    </row>
    <row r="380">
      <c r="A380" t="inlineStr">
        <is>
          <t>37055589</t>
        </is>
      </c>
      <c r="B380" t="inlineStr">
        <is>
          <t>PRODUCTO D4ACDB</t>
        </is>
      </c>
      <c r="C380" t="inlineStr">
        <is>
          <t>Piura</t>
        </is>
      </c>
      <c r="D380" t="n">
        <v>0</v>
      </c>
      <c r="E380" t="n">
        <v>0</v>
      </c>
      <c r="F380" t="n">
        <v>0</v>
      </c>
      <c r="G380" t="n">
        <v>0</v>
      </c>
      <c r="H380">
        <f>AVERAGE(D9018:G9018)</f>
        <v/>
      </c>
    </row>
    <row r="381">
      <c r="A381" t="inlineStr">
        <is>
          <t>37055594</t>
        </is>
      </c>
      <c r="B381" t="inlineStr">
        <is>
          <t>PRODUCTO 89FD72</t>
        </is>
      </c>
      <c r="C381" t="inlineStr">
        <is>
          <t>Miraflores</t>
        </is>
      </c>
      <c r="D381" t="n">
        <v>0</v>
      </c>
      <c r="E381" t="n">
        <v>0</v>
      </c>
      <c r="F381" t="n">
        <v>0</v>
      </c>
      <c r="G381" t="n">
        <v>0</v>
      </c>
      <c r="H381">
        <f>AVERAGE(D9022:G9022)</f>
        <v/>
      </c>
    </row>
    <row r="382">
      <c r="A382" t="inlineStr">
        <is>
          <t>37055598</t>
        </is>
      </c>
      <c r="B382" t="inlineStr">
        <is>
          <t>PRODUCTO DD2A0A</t>
        </is>
      </c>
      <c r="C382" t="inlineStr">
        <is>
          <t>Jockey Plaza</t>
        </is>
      </c>
      <c r="D382" t="n">
        <v>0</v>
      </c>
      <c r="E382" t="n">
        <v>0</v>
      </c>
      <c r="F382" t="n">
        <v>0</v>
      </c>
      <c r="G382" t="n">
        <v>0</v>
      </c>
      <c r="H382">
        <f>AVERAGE(D9032:G9032)</f>
        <v/>
      </c>
    </row>
    <row r="383">
      <c r="A383" t="inlineStr">
        <is>
          <t>37055598</t>
        </is>
      </c>
      <c r="B383" t="inlineStr">
        <is>
          <t>PRODUCTO DD2A0A</t>
        </is>
      </c>
      <c r="C383" t="inlineStr">
        <is>
          <t>San Miguel</t>
        </is>
      </c>
      <c r="D383" t="n">
        <v>0</v>
      </c>
      <c r="E383" t="n">
        <v>0</v>
      </c>
      <c r="F383" t="n">
        <v>0</v>
      </c>
      <c r="G383" t="n">
        <v>0</v>
      </c>
      <c r="H383">
        <f>AVERAGE(D9033:G9033)</f>
        <v/>
      </c>
    </row>
    <row r="384">
      <c r="A384" t="inlineStr">
        <is>
          <t>37055598</t>
        </is>
      </c>
      <c r="B384" t="inlineStr">
        <is>
          <t>PRODUCTO DD2A0A</t>
        </is>
      </c>
      <c r="C384" t="inlineStr">
        <is>
          <t>Miraflores</t>
        </is>
      </c>
      <c r="D384" t="n">
        <v>0</v>
      </c>
      <c r="E384" t="n">
        <v>0</v>
      </c>
      <c r="F384" t="n">
        <v>0</v>
      </c>
      <c r="G384" t="n">
        <v>0</v>
      </c>
      <c r="H384">
        <f>AVERAGE(D9034:G9034)</f>
        <v/>
      </c>
    </row>
    <row r="385">
      <c r="A385" t="inlineStr">
        <is>
          <t>37055598</t>
        </is>
      </c>
      <c r="B385" t="inlineStr">
        <is>
          <t>PRODUCTO DD2A0A</t>
        </is>
      </c>
      <c r="C385" t="inlineStr">
        <is>
          <t>Salaverry</t>
        </is>
      </c>
      <c r="D385" t="n">
        <v>0</v>
      </c>
      <c r="E385" t="n">
        <v>0</v>
      </c>
      <c r="F385" t="n">
        <v>0</v>
      </c>
      <c r="G385" t="n">
        <v>0</v>
      </c>
      <c r="H385">
        <f>AVERAGE(D9042:G9042)</f>
        <v/>
      </c>
    </row>
    <row r="386">
      <c r="A386" t="inlineStr">
        <is>
          <t>37055598</t>
        </is>
      </c>
      <c r="B386" t="inlineStr">
        <is>
          <t>PRODUCTO DD2A0A</t>
        </is>
      </c>
      <c r="C386" t="inlineStr">
        <is>
          <t>Piura</t>
        </is>
      </c>
      <c r="D386" t="n">
        <v>0</v>
      </c>
      <c r="E386" t="n">
        <v>0</v>
      </c>
      <c r="F386" t="n">
        <v>0</v>
      </c>
      <c r="G386" t="n">
        <v>0</v>
      </c>
      <c r="H386">
        <f>AVERAGE(D9044:G9044)</f>
        <v/>
      </c>
    </row>
    <row r="387">
      <c r="A387" t="inlineStr">
        <is>
          <t>37055608</t>
        </is>
      </c>
      <c r="B387" t="inlineStr">
        <is>
          <t>PRODUCTO B56DC4</t>
        </is>
      </c>
      <c r="C387" t="inlineStr">
        <is>
          <t>Jockey Plaza</t>
        </is>
      </c>
      <c r="D387" t="n">
        <v>0</v>
      </c>
      <c r="E387" t="n">
        <v>0</v>
      </c>
      <c r="F387" t="n">
        <v>0</v>
      </c>
      <c r="G387" t="n">
        <v>0</v>
      </c>
      <c r="H387">
        <f>AVERAGE(D9060:G9060)</f>
        <v/>
      </c>
    </row>
    <row r="388">
      <c r="A388" t="inlineStr">
        <is>
          <t>37055608</t>
        </is>
      </c>
      <c r="B388" t="inlineStr">
        <is>
          <t>PRODUCTO B56DC4</t>
        </is>
      </c>
      <c r="C388" t="inlineStr">
        <is>
          <t>San Miguel</t>
        </is>
      </c>
      <c r="D388" t="n">
        <v>0</v>
      </c>
      <c r="E388" t="n">
        <v>0</v>
      </c>
      <c r="F388" t="n">
        <v>0</v>
      </c>
      <c r="G388" t="n">
        <v>0</v>
      </c>
      <c r="H388">
        <f>AVERAGE(D9061:G9061)</f>
        <v/>
      </c>
    </row>
    <row r="389">
      <c r="A389" t="inlineStr">
        <is>
          <t>37055608</t>
        </is>
      </c>
      <c r="B389" t="inlineStr">
        <is>
          <t>PRODUCTO B56DC4</t>
        </is>
      </c>
      <c r="C389" t="inlineStr">
        <is>
          <t>Miraflores</t>
        </is>
      </c>
      <c r="D389" t="n">
        <v>0</v>
      </c>
      <c r="E389" t="n">
        <v>0</v>
      </c>
      <c r="F389" t="n">
        <v>0</v>
      </c>
      <c r="G389" t="n">
        <v>0</v>
      </c>
      <c r="H389">
        <f>AVERAGE(D9062:G9062)</f>
        <v/>
      </c>
    </row>
    <row r="390">
      <c r="A390" t="inlineStr">
        <is>
          <t>37055608</t>
        </is>
      </c>
      <c r="B390" t="inlineStr">
        <is>
          <t>PRODUCTO B56DC4</t>
        </is>
      </c>
      <c r="C390" t="inlineStr">
        <is>
          <t>Salaverry</t>
        </is>
      </c>
      <c r="D390" t="n">
        <v>0</v>
      </c>
      <c r="E390" t="n">
        <v>0</v>
      </c>
      <c r="F390" t="n">
        <v>0</v>
      </c>
      <c r="G390" t="n">
        <v>0</v>
      </c>
      <c r="H390">
        <f>AVERAGE(D9069:G9069)</f>
        <v/>
      </c>
    </row>
    <row r="391">
      <c r="A391" t="inlineStr">
        <is>
          <t>37055608</t>
        </is>
      </c>
      <c r="B391" t="inlineStr">
        <is>
          <t>PRODUCTO B56DC4</t>
        </is>
      </c>
      <c r="C391" t="inlineStr">
        <is>
          <t>San Borja</t>
        </is>
      </c>
      <c r="D391" t="n">
        <v>1</v>
      </c>
      <c r="E391" t="n">
        <v>0</v>
      </c>
      <c r="F391" t="n">
        <v>0</v>
      </c>
      <c r="G391" t="n">
        <v>0</v>
      </c>
      <c r="H391">
        <f>AVERAGE(D9070:G9070)</f>
        <v/>
      </c>
    </row>
    <row r="392">
      <c r="A392" t="inlineStr">
        <is>
          <t>37055608</t>
        </is>
      </c>
      <c r="B392" t="inlineStr">
        <is>
          <t>PRODUCTO B56DC4</t>
        </is>
      </c>
      <c r="C392" t="inlineStr">
        <is>
          <t>Piura</t>
        </is>
      </c>
      <c r="D392" t="n">
        <v>0</v>
      </c>
      <c r="E392" t="n">
        <v>0</v>
      </c>
      <c r="F392" t="n">
        <v>0</v>
      </c>
      <c r="G392" t="n">
        <v>0</v>
      </c>
      <c r="H392">
        <f>AVERAGE(D9073:G9073)</f>
        <v/>
      </c>
    </row>
    <row r="393">
      <c r="A393" t="inlineStr">
        <is>
          <t>37055612</t>
        </is>
      </c>
      <c r="B393" t="inlineStr">
        <is>
          <t>PRODUCTO 8D1A3B</t>
        </is>
      </c>
      <c r="C393" t="inlineStr">
        <is>
          <t>Jockey Plaza</t>
        </is>
      </c>
      <c r="D393" t="n">
        <v>0</v>
      </c>
      <c r="E393" t="n">
        <v>0</v>
      </c>
      <c r="F393" t="n">
        <v>0</v>
      </c>
      <c r="G393" t="n">
        <v>0</v>
      </c>
      <c r="H393">
        <f>AVERAGE(D9077:G9077)</f>
        <v/>
      </c>
    </row>
    <row r="394">
      <c r="A394" t="inlineStr">
        <is>
          <t>37055612</t>
        </is>
      </c>
      <c r="B394" t="inlineStr">
        <is>
          <t>PRODUCTO 8D1A3B</t>
        </is>
      </c>
      <c r="C394" t="inlineStr">
        <is>
          <t>San Miguel</t>
        </is>
      </c>
      <c r="D394" t="n">
        <v>0</v>
      </c>
      <c r="E394" t="n">
        <v>0</v>
      </c>
      <c r="F394" t="n">
        <v>0</v>
      </c>
      <c r="G394" t="n">
        <v>0</v>
      </c>
      <c r="H394">
        <f>AVERAGE(D9078:G9078)</f>
        <v/>
      </c>
    </row>
    <row r="395">
      <c r="A395" t="inlineStr">
        <is>
          <t>37055612</t>
        </is>
      </c>
      <c r="B395" t="inlineStr">
        <is>
          <t>PRODUCTO 8D1A3B</t>
        </is>
      </c>
      <c r="C395" t="inlineStr">
        <is>
          <t>Miraflores</t>
        </is>
      </c>
      <c r="D395" t="n">
        <v>0</v>
      </c>
      <c r="E395" t="n">
        <v>0</v>
      </c>
      <c r="F395" t="n">
        <v>0</v>
      </c>
      <c r="G395" t="n">
        <v>0</v>
      </c>
      <c r="H395">
        <f>AVERAGE(D9079:G9079)</f>
        <v/>
      </c>
    </row>
    <row r="396">
      <c r="A396" t="inlineStr">
        <is>
          <t>37055612</t>
        </is>
      </c>
      <c r="B396" t="inlineStr">
        <is>
          <t>PRODUCTO 8D1A3B</t>
        </is>
      </c>
      <c r="C396" t="inlineStr">
        <is>
          <t>Salaverry</t>
        </is>
      </c>
      <c r="D396" t="n">
        <v>0</v>
      </c>
      <c r="E396" t="n">
        <v>0</v>
      </c>
      <c r="F396" t="n">
        <v>0</v>
      </c>
      <c r="G396" t="n">
        <v>0</v>
      </c>
      <c r="H396">
        <f>AVERAGE(D9085:G9085)</f>
        <v/>
      </c>
    </row>
    <row r="397">
      <c r="A397" t="inlineStr">
        <is>
          <t>37055612</t>
        </is>
      </c>
      <c r="B397" t="inlineStr">
        <is>
          <t>PRODUCTO 8D1A3B</t>
        </is>
      </c>
      <c r="C397" t="inlineStr">
        <is>
          <t>San Borja</t>
        </is>
      </c>
      <c r="D397" t="n">
        <v>0</v>
      </c>
      <c r="E397" t="n">
        <v>0</v>
      </c>
      <c r="F397" t="n">
        <v>0</v>
      </c>
      <c r="G397" t="n">
        <v>0</v>
      </c>
      <c r="H397">
        <f>AVERAGE(D9086:G9086)</f>
        <v/>
      </c>
    </row>
    <row r="398">
      <c r="A398" t="inlineStr">
        <is>
          <t>37055612</t>
        </is>
      </c>
      <c r="B398" t="inlineStr">
        <is>
          <t>PRODUCTO 8D1A3B</t>
        </is>
      </c>
      <c r="C398" t="inlineStr">
        <is>
          <t>Piura</t>
        </is>
      </c>
      <c r="D398" t="n">
        <v>1</v>
      </c>
      <c r="E398" t="n">
        <v>0</v>
      </c>
      <c r="F398" t="n">
        <v>1</v>
      </c>
      <c r="G398" t="n">
        <v>6</v>
      </c>
      <c r="H398">
        <f>AVERAGE(D9088:G9088)</f>
        <v/>
      </c>
    </row>
    <row r="399">
      <c r="A399" t="inlineStr">
        <is>
          <t>37076452</t>
        </is>
      </c>
      <c r="B399" t="inlineStr">
        <is>
          <t>PRODUCTO 96702F</t>
        </is>
      </c>
      <c r="C399" t="inlineStr">
        <is>
          <t>Jockey Plaza</t>
        </is>
      </c>
      <c r="D399" t="n">
        <v>0</v>
      </c>
      <c r="E399" t="n">
        <v>0</v>
      </c>
      <c r="F399" t="n">
        <v>0</v>
      </c>
      <c r="G399" t="n">
        <v>0</v>
      </c>
      <c r="H399">
        <f>AVERAGE(D9126:G9126)</f>
        <v/>
      </c>
    </row>
    <row r="400">
      <c r="A400" t="inlineStr">
        <is>
          <t>37076452</t>
        </is>
      </c>
      <c r="B400" t="inlineStr">
        <is>
          <t>PRODUCTO 96702F</t>
        </is>
      </c>
      <c r="C400" t="inlineStr">
        <is>
          <t>San Miguel</t>
        </is>
      </c>
      <c r="D400" t="n">
        <v>1</v>
      </c>
      <c r="E400" t="n">
        <v>1</v>
      </c>
      <c r="F400" t="n">
        <v>2</v>
      </c>
      <c r="G400" t="n">
        <v>1</v>
      </c>
      <c r="H400">
        <f>AVERAGE(D9127:G9127)</f>
        <v/>
      </c>
    </row>
    <row r="401">
      <c r="A401" t="inlineStr">
        <is>
          <t>37076452</t>
        </is>
      </c>
      <c r="B401" t="inlineStr">
        <is>
          <t>PRODUCTO 96702F</t>
        </is>
      </c>
      <c r="C401" t="inlineStr">
        <is>
          <t>Miraflores</t>
        </is>
      </c>
      <c r="D401" t="n">
        <v>0</v>
      </c>
      <c r="E401" t="n">
        <v>0</v>
      </c>
      <c r="F401" t="n">
        <v>0</v>
      </c>
      <c r="G401" t="n">
        <v>0</v>
      </c>
      <c r="H401">
        <f>AVERAGE(D9128:G9128)</f>
        <v/>
      </c>
    </row>
    <row r="402">
      <c r="A402" t="inlineStr">
        <is>
          <t>37076452</t>
        </is>
      </c>
      <c r="B402" t="inlineStr">
        <is>
          <t>PRODUCTO 96702F</t>
        </is>
      </c>
      <c r="C402" t="inlineStr">
        <is>
          <t>San Borja</t>
        </is>
      </c>
      <c r="D402" t="n">
        <v>0</v>
      </c>
      <c r="E402" t="n">
        <v>0</v>
      </c>
      <c r="F402" t="n">
        <v>0</v>
      </c>
      <c r="G402" t="n">
        <v>0</v>
      </c>
      <c r="H402">
        <f>AVERAGE(D9129:G9129)</f>
        <v/>
      </c>
    </row>
    <row r="403">
      <c r="A403" t="inlineStr">
        <is>
          <t>37076463</t>
        </is>
      </c>
      <c r="B403" t="inlineStr">
        <is>
          <t>PRODUCTO 2B9649</t>
        </is>
      </c>
      <c r="C403" t="inlineStr">
        <is>
          <t>Miraflores</t>
        </is>
      </c>
      <c r="D403" t="n">
        <v>0</v>
      </c>
      <c r="E403" t="n">
        <v>0</v>
      </c>
      <c r="F403" t="n">
        <v>0</v>
      </c>
      <c r="G403" t="n">
        <v>0</v>
      </c>
      <c r="H403">
        <f>AVERAGE(D9134:G9134)</f>
        <v/>
      </c>
    </row>
    <row r="404">
      <c r="A404" t="inlineStr">
        <is>
          <t>37076463</t>
        </is>
      </c>
      <c r="B404" t="inlineStr">
        <is>
          <t>PRODUCTO 2B9649</t>
        </is>
      </c>
      <c r="C404" t="inlineStr">
        <is>
          <t>San Borja</t>
        </is>
      </c>
      <c r="D404" t="n">
        <v>0</v>
      </c>
      <c r="E404" t="n">
        <v>0</v>
      </c>
      <c r="F404" t="n">
        <v>0</v>
      </c>
      <c r="G404" t="n">
        <v>0</v>
      </c>
      <c r="H404">
        <f>AVERAGE(D9136:G9136)</f>
        <v/>
      </c>
    </row>
    <row r="405">
      <c r="A405" t="inlineStr">
        <is>
          <t>37078226</t>
        </is>
      </c>
      <c r="B405" t="inlineStr">
        <is>
          <t>PRODUCTO 793DFE</t>
        </is>
      </c>
      <c r="C405" t="inlineStr">
        <is>
          <t>Jockey Plaza</t>
        </is>
      </c>
      <c r="D405" t="n">
        <v>0</v>
      </c>
      <c r="E405" t="n">
        <v>0</v>
      </c>
      <c r="F405" t="n">
        <v>0</v>
      </c>
      <c r="G405" t="n">
        <v>0</v>
      </c>
      <c r="H405">
        <f>AVERAGE(D9254:G9254)</f>
        <v/>
      </c>
    </row>
    <row r="406">
      <c r="A406" t="inlineStr">
        <is>
          <t>37078226</t>
        </is>
      </c>
      <c r="B406" t="inlineStr">
        <is>
          <t>PRODUCTO 793DFE</t>
        </is>
      </c>
      <c r="C406" t="inlineStr">
        <is>
          <t>San Miguel</t>
        </is>
      </c>
      <c r="D406" t="n">
        <v>0</v>
      </c>
      <c r="E406" t="n">
        <v>0</v>
      </c>
      <c r="F406" t="n">
        <v>0</v>
      </c>
      <c r="G406" t="n">
        <v>0</v>
      </c>
      <c r="H406">
        <f>AVERAGE(D9255:G9255)</f>
        <v/>
      </c>
    </row>
    <row r="407">
      <c r="A407" t="inlineStr">
        <is>
          <t>37078226</t>
        </is>
      </c>
      <c r="B407" t="inlineStr">
        <is>
          <t>PRODUCTO 793DFE</t>
        </is>
      </c>
      <c r="C407" t="inlineStr">
        <is>
          <t>Salaverry</t>
        </is>
      </c>
      <c r="D407" t="n">
        <v>0</v>
      </c>
      <c r="E407" t="n">
        <v>0</v>
      </c>
      <c r="F407" t="n">
        <v>0</v>
      </c>
      <c r="G407" t="n">
        <v>0</v>
      </c>
      <c r="H407">
        <f>AVERAGE(D9263:G9263)</f>
        <v/>
      </c>
    </row>
    <row r="408">
      <c r="A408" t="inlineStr">
        <is>
          <t>37078226</t>
        </is>
      </c>
      <c r="B408" t="inlineStr">
        <is>
          <t>PRODUCTO 793DFE</t>
        </is>
      </c>
      <c r="C408" t="inlineStr">
        <is>
          <t>San Borja</t>
        </is>
      </c>
      <c r="D408" t="n">
        <v>0</v>
      </c>
      <c r="E408" t="n">
        <v>0</v>
      </c>
      <c r="F408" t="n">
        <v>0</v>
      </c>
      <c r="G408" t="n">
        <v>0</v>
      </c>
      <c r="H408">
        <f>AVERAGE(D9264:G9264)</f>
        <v/>
      </c>
    </row>
    <row r="409">
      <c r="A409" t="inlineStr">
        <is>
          <t>37097249</t>
        </is>
      </c>
      <c r="B409" t="inlineStr">
        <is>
          <t>PRODUCTO 2E75E4</t>
        </is>
      </c>
      <c r="C409" t="inlineStr">
        <is>
          <t>Jockey Plaza</t>
        </is>
      </c>
      <c r="D409" t="n">
        <v>0</v>
      </c>
      <c r="E409" t="n">
        <v>0</v>
      </c>
      <c r="F409" t="n">
        <v>0</v>
      </c>
      <c r="G409" t="n">
        <v>0</v>
      </c>
      <c r="H409">
        <f>AVERAGE(D9344:G9344)</f>
        <v/>
      </c>
    </row>
    <row r="410">
      <c r="A410" t="inlineStr">
        <is>
          <t>37097249</t>
        </is>
      </c>
      <c r="B410" t="inlineStr">
        <is>
          <t>PRODUCTO 2E75E4</t>
        </is>
      </c>
      <c r="C410" t="inlineStr">
        <is>
          <t>San Miguel</t>
        </is>
      </c>
      <c r="D410" t="n">
        <v>1</v>
      </c>
      <c r="E410" t="n">
        <v>1</v>
      </c>
      <c r="F410" t="n">
        <v>2</v>
      </c>
      <c r="G410" t="n">
        <v>1</v>
      </c>
      <c r="H410">
        <f>AVERAGE(D9345:G9345)</f>
        <v/>
      </c>
    </row>
    <row r="411">
      <c r="A411" t="inlineStr">
        <is>
          <t>37097249</t>
        </is>
      </c>
      <c r="B411" t="inlineStr">
        <is>
          <t>PRODUCTO 2E75E4</t>
        </is>
      </c>
      <c r="C411" t="inlineStr">
        <is>
          <t>Miraflores</t>
        </is>
      </c>
      <c r="D411" t="n">
        <v>0</v>
      </c>
      <c r="E411" t="n">
        <v>0</v>
      </c>
      <c r="F411" t="n">
        <v>0</v>
      </c>
      <c r="G411" t="n">
        <v>0</v>
      </c>
      <c r="H411">
        <f>AVERAGE(D9346:G9346)</f>
        <v/>
      </c>
    </row>
    <row r="412">
      <c r="A412" t="inlineStr">
        <is>
          <t>37097249</t>
        </is>
      </c>
      <c r="B412" t="inlineStr">
        <is>
          <t>PRODUCTO 2E75E4</t>
        </is>
      </c>
      <c r="C412" t="inlineStr">
        <is>
          <t>Salaverry</t>
        </is>
      </c>
      <c r="D412" t="n">
        <v>0</v>
      </c>
      <c r="E412" t="n">
        <v>0</v>
      </c>
      <c r="F412" t="n">
        <v>0</v>
      </c>
      <c r="G412" t="n">
        <v>0</v>
      </c>
      <c r="H412">
        <f>AVERAGE(D9354:G9354)</f>
        <v/>
      </c>
    </row>
    <row r="413">
      <c r="A413" t="inlineStr">
        <is>
          <t>37097249</t>
        </is>
      </c>
      <c r="B413" t="inlineStr">
        <is>
          <t>PRODUCTO 2E75E4</t>
        </is>
      </c>
      <c r="C413" t="inlineStr">
        <is>
          <t>San Borja</t>
        </is>
      </c>
      <c r="D413" t="n">
        <v>0</v>
      </c>
      <c r="E413" t="n">
        <v>0</v>
      </c>
      <c r="F413" t="n">
        <v>0</v>
      </c>
      <c r="G413" t="n">
        <v>0</v>
      </c>
      <c r="H413">
        <f>AVERAGE(D9355:G9355)</f>
        <v/>
      </c>
    </row>
    <row r="414">
      <c r="A414" t="inlineStr">
        <is>
          <t>37097249</t>
        </is>
      </c>
      <c r="B414" t="inlineStr">
        <is>
          <t>PRODUCTO 2E75E4</t>
        </is>
      </c>
      <c r="C414" t="inlineStr">
        <is>
          <t>Piura</t>
        </is>
      </c>
      <c r="D414" t="n">
        <v>0</v>
      </c>
      <c r="E414" t="n">
        <v>0</v>
      </c>
      <c r="F414" t="n">
        <v>0</v>
      </c>
      <c r="G414" t="n">
        <v>0</v>
      </c>
      <c r="H414">
        <f>AVERAGE(D9360:G9360)</f>
        <v/>
      </c>
    </row>
    <row r="415">
      <c r="A415" t="inlineStr">
        <is>
          <t>37133243</t>
        </is>
      </c>
      <c r="B415" t="inlineStr">
        <is>
          <t>PRODUCTO 70B50D</t>
        </is>
      </c>
      <c r="C415" t="inlineStr">
        <is>
          <t>San Miguel</t>
        </is>
      </c>
      <c r="D415" t="n">
        <v>1</v>
      </c>
      <c r="E415" t="n">
        <v>1</v>
      </c>
      <c r="F415" t="n">
        <v>1</v>
      </c>
      <c r="G415" t="n">
        <v>0</v>
      </c>
      <c r="H415">
        <f>AVERAGE(D9452:G9452)</f>
        <v/>
      </c>
    </row>
    <row r="416">
      <c r="A416" t="inlineStr">
        <is>
          <t>37133243</t>
        </is>
      </c>
      <c r="B416" t="inlineStr">
        <is>
          <t>PRODUCTO 70B50D</t>
        </is>
      </c>
      <c r="C416" t="inlineStr">
        <is>
          <t>Miraflores</t>
        </is>
      </c>
      <c r="D416" t="n">
        <v>3</v>
      </c>
      <c r="E416" t="n">
        <v>3</v>
      </c>
      <c r="F416" t="n">
        <v>2</v>
      </c>
      <c r="G416" t="n">
        <v>0</v>
      </c>
      <c r="H416">
        <f>AVERAGE(D9453:G9453)</f>
        <v/>
      </c>
    </row>
    <row r="417">
      <c r="A417" t="inlineStr">
        <is>
          <t>37133243</t>
        </is>
      </c>
      <c r="B417" t="inlineStr">
        <is>
          <t>PRODUCTO 70B50D</t>
        </is>
      </c>
      <c r="C417" t="inlineStr">
        <is>
          <t>Salaverry</t>
        </is>
      </c>
      <c r="D417" t="n">
        <v>0</v>
      </c>
      <c r="E417" t="n">
        <v>0</v>
      </c>
      <c r="F417" t="n">
        <v>0</v>
      </c>
      <c r="G417" t="n">
        <v>0</v>
      </c>
      <c r="H417">
        <f>AVERAGE(D9459:G9459)</f>
        <v/>
      </c>
    </row>
    <row r="418">
      <c r="A418" t="inlineStr">
        <is>
          <t>37133243</t>
        </is>
      </c>
      <c r="B418" t="inlineStr">
        <is>
          <t>PRODUCTO 70B50D</t>
        </is>
      </c>
      <c r="C418" t="inlineStr">
        <is>
          <t>San Borja</t>
        </is>
      </c>
      <c r="D418" t="n">
        <v>0</v>
      </c>
      <c r="E418" t="n">
        <v>0</v>
      </c>
      <c r="F418" t="n">
        <v>0</v>
      </c>
      <c r="G418" t="n">
        <v>0</v>
      </c>
      <c r="H418">
        <f>AVERAGE(D9460:G9460)</f>
        <v/>
      </c>
    </row>
    <row r="419">
      <c r="A419" t="inlineStr">
        <is>
          <t>37133243</t>
        </is>
      </c>
      <c r="B419" t="inlineStr">
        <is>
          <t>PRODUCTO 70B50D</t>
        </is>
      </c>
      <c r="C419" t="inlineStr">
        <is>
          <t>Piura</t>
        </is>
      </c>
      <c r="D419" t="n">
        <v>0</v>
      </c>
      <c r="E419" t="n">
        <v>0</v>
      </c>
      <c r="F419" t="n">
        <v>0</v>
      </c>
      <c r="G419" t="n">
        <v>0</v>
      </c>
      <c r="H419">
        <f>AVERAGE(D9462:G9462)</f>
        <v/>
      </c>
    </row>
    <row r="420">
      <c r="A420" t="inlineStr">
        <is>
          <t>37133325</t>
        </is>
      </c>
      <c r="B420" t="inlineStr">
        <is>
          <t>PRODUCTO 6E482E</t>
        </is>
      </c>
      <c r="C420" t="inlineStr">
        <is>
          <t>Jockey Plaza</t>
        </is>
      </c>
      <c r="D420" t="n">
        <v>0</v>
      </c>
      <c r="E420" t="n">
        <v>0</v>
      </c>
      <c r="F420" t="n">
        <v>0</v>
      </c>
      <c r="G420" t="n">
        <v>0</v>
      </c>
      <c r="H420">
        <f>AVERAGE(D9560:G9560)</f>
        <v/>
      </c>
    </row>
    <row r="421">
      <c r="A421" t="inlineStr">
        <is>
          <t>37133325</t>
        </is>
      </c>
      <c r="B421" t="inlineStr">
        <is>
          <t>PRODUCTO 6E482E</t>
        </is>
      </c>
      <c r="C421" t="inlineStr">
        <is>
          <t>San Miguel</t>
        </is>
      </c>
      <c r="D421" t="n">
        <v>0</v>
      </c>
      <c r="E421" t="n">
        <v>0</v>
      </c>
      <c r="F421" t="n">
        <v>0</v>
      </c>
      <c r="G421" t="n">
        <v>0</v>
      </c>
      <c r="H421">
        <f>AVERAGE(D9561:G9561)</f>
        <v/>
      </c>
    </row>
    <row r="422">
      <c r="A422" t="inlineStr">
        <is>
          <t>37133325</t>
        </is>
      </c>
      <c r="B422" t="inlineStr">
        <is>
          <t>PRODUCTO 6E482E</t>
        </is>
      </c>
      <c r="C422" t="inlineStr">
        <is>
          <t>Miraflores</t>
        </is>
      </c>
      <c r="D422" t="n">
        <v>0</v>
      </c>
      <c r="E422" t="n">
        <v>0</v>
      </c>
      <c r="F422" t="n">
        <v>0</v>
      </c>
      <c r="G422" t="n">
        <v>0</v>
      </c>
      <c r="H422">
        <f>AVERAGE(D9562:G9562)</f>
        <v/>
      </c>
    </row>
    <row r="423">
      <c r="A423" t="inlineStr">
        <is>
          <t>37133325</t>
        </is>
      </c>
      <c r="B423" t="inlineStr">
        <is>
          <t>PRODUCTO 6E482E</t>
        </is>
      </c>
      <c r="C423" t="inlineStr">
        <is>
          <t>Salaverry</t>
        </is>
      </c>
      <c r="D423" t="n">
        <v>0</v>
      </c>
      <c r="E423" t="n">
        <v>0</v>
      </c>
      <c r="F423" t="n">
        <v>0</v>
      </c>
      <c r="G423" t="n">
        <v>0</v>
      </c>
      <c r="H423">
        <f>AVERAGE(D9564:G9564)</f>
        <v/>
      </c>
    </row>
    <row r="424">
      <c r="A424" t="inlineStr">
        <is>
          <t>37133325</t>
        </is>
      </c>
      <c r="B424" t="inlineStr">
        <is>
          <t>PRODUCTO 6E482E</t>
        </is>
      </c>
      <c r="C424" t="inlineStr">
        <is>
          <t>San Borja</t>
        </is>
      </c>
      <c r="D424" t="n">
        <v>0</v>
      </c>
      <c r="E424" t="n">
        <v>0</v>
      </c>
      <c r="F424" t="n">
        <v>0</v>
      </c>
      <c r="G424" t="n">
        <v>0</v>
      </c>
      <c r="H424">
        <f>AVERAGE(D9565:G9565)</f>
        <v/>
      </c>
    </row>
    <row r="425">
      <c r="A425" t="inlineStr">
        <is>
          <t>37133335</t>
        </is>
      </c>
      <c r="B425" t="inlineStr">
        <is>
          <t>PRODUCTO 325045</t>
        </is>
      </c>
      <c r="C425" t="inlineStr">
        <is>
          <t>Jockey Plaza</t>
        </is>
      </c>
      <c r="D425" t="n">
        <v>0</v>
      </c>
      <c r="E425" t="n">
        <v>0</v>
      </c>
      <c r="F425" t="n">
        <v>0</v>
      </c>
      <c r="G425" t="n">
        <v>0</v>
      </c>
      <c r="H425">
        <f>AVERAGE(D9567:G9567)</f>
        <v/>
      </c>
    </row>
    <row r="426">
      <c r="A426" t="inlineStr">
        <is>
          <t>37133335</t>
        </is>
      </c>
      <c r="B426" t="inlineStr">
        <is>
          <t>PRODUCTO 325045</t>
        </is>
      </c>
      <c r="C426" t="inlineStr">
        <is>
          <t>San Miguel</t>
        </is>
      </c>
      <c r="D426" t="n">
        <v>0</v>
      </c>
      <c r="E426" t="n">
        <v>0</v>
      </c>
      <c r="F426" t="n">
        <v>0</v>
      </c>
      <c r="G426" t="n">
        <v>0</v>
      </c>
      <c r="H426">
        <f>AVERAGE(D9568:G9568)</f>
        <v/>
      </c>
    </row>
    <row r="427">
      <c r="A427" t="inlineStr">
        <is>
          <t>37133335</t>
        </is>
      </c>
      <c r="B427" t="inlineStr">
        <is>
          <t>PRODUCTO 325045</t>
        </is>
      </c>
      <c r="C427" t="inlineStr">
        <is>
          <t>Miraflores</t>
        </is>
      </c>
      <c r="D427" t="n">
        <v>0</v>
      </c>
      <c r="E427" t="n">
        <v>0</v>
      </c>
      <c r="F427" t="n">
        <v>0</v>
      </c>
      <c r="G427" t="n">
        <v>0</v>
      </c>
      <c r="H427">
        <f>AVERAGE(D9569:G9569)</f>
        <v/>
      </c>
    </row>
    <row r="428">
      <c r="A428" t="inlineStr">
        <is>
          <t>37133335</t>
        </is>
      </c>
      <c r="B428" t="inlineStr">
        <is>
          <t>PRODUCTO 325045</t>
        </is>
      </c>
      <c r="C428" t="inlineStr">
        <is>
          <t>Salaverry</t>
        </is>
      </c>
      <c r="D428" t="n">
        <v>0</v>
      </c>
      <c r="E428" t="n">
        <v>0</v>
      </c>
      <c r="F428" t="n">
        <v>0</v>
      </c>
      <c r="G428" t="n">
        <v>0</v>
      </c>
      <c r="H428">
        <f>AVERAGE(D9571:G9571)</f>
        <v/>
      </c>
    </row>
    <row r="429">
      <c r="A429" t="inlineStr">
        <is>
          <t>37133335</t>
        </is>
      </c>
      <c r="B429" t="inlineStr">
        <is>
          <t>PRODUCTO 325045</t>
        </is>
      </c>
      <c r="C429" t="inlineStr">
        <is>
          <t>San Borja</t>
        </is>
      </c>
      <c r="D429" t="n">
        <v>0</v>
      </c>
      <c r="E429" t="n">
        <v>0</v>
      </c>
      <c r="F429" t="n">
        <v>0</v>
      </c>
      <c r="G429" t="n">
        <v>0</v>
      </c>
      <c r="H429">
        <f>AVERAGE(D9572:G9572)</f>
        <v/>
      </c>
    </row>
    <row r="430">
      <c r="A430" t="inlineStr">
        <is>
          <t>37181861</t>
        </is>
      </c>
      <c r="B430" t="inlineStr">
        <is>
          <t>PRODUCTO 6DC3C7</t>
        </is>
      </c>
      <c r="C430" t="inlineStr">
        <is>
          <t>Jockey Plaza</t>
        </is>
      </c>
      <c r="D430" t="n">
        <v>1</v>
      </c>
      <c r="E430" t="n">
        <v>1</v>
      </c>
      <c r="F430" t="n">
        <v>1</v>
      </c>
      <c r="G430" t="n">
        <v>1</v>
      </c>
      <c r="H430">
        <f>AVERAGE(D9896:G9896)</f>
        <v/>
      </c>
    </row>
    <row r="431">
      <c r="A431" t="inlineStr">
        <is>
          <t>37181861</t>
        </is>
      </c>
      <c r="B431" t="inlineStr">
        <is>
          <t>PRODUCTO 6DC3C7</t>
        </is>
      </c>
      <c r="C431" t="inlineStr">
        <is>
          <t>San Miguel</t>
        </is>
      </c>
      <c r="D431" t="n">
        <v>0</v>
      </c>
      <c r="E431" t="n">
        <v>0</v>
      </c>
      <c r="F431" t="n">
        <v>0</v>
      </c>
      <c r="G431" t="n">
        <v>0</v>
      </c>
      <c r="H431">
        <f>AVERAGE(D9897:G9897)</f>
        <v/>
      </c>
    </row>
    <row r="432">
      <c r="A432" t="inlineStr">
        <is>
          <t>37181861</t>
        </is>
      </c>
      <c r="B432" t="inlineStr">
        <is>
          <t>PRODUCTO 6DC3C7</t>
        </is>
      </c>
      <c r="C432" t="inlineStr">
        <is>
          <t>Miraflores</t>
        </is>
      </c>
      <c r="D432" t="n">
        <v>1</v>
      </c>
      <c r="E432" t="n">
        <v>1</v>
      </c>
      <c r="F432" t="n">
        <v>1</v>
      </c>
      <c r="G432" t="n">
        <v>1</v>
      </c>
      <c r="H432">
        <f>AVERAGE(D9898:G9898)</f>
        <v/>
      </c>
    </row>
    <row r="433">
      <c r="A433" t="inlineStr">
        <is>
          <t>37181861</t>
        </is>
      </c>
      <c r="B433" t="inlineStr">
        <is>
          <t>PRODUCTO 6DC3C7</t>
        </is>
      </c>
      <c r="C433" t="inlineStr">
        <is>
          <t>Salaverry</t>
        </is>
      </c>
      <c r="D433" t="n">
        <v>0</v>
      </c>
      <c r="E433" t="n">
        <v>0</v>
      </c>
      <c r="F433" t="n">
        <v>0</v>
      </c>
      <c r="G433" t="n">
        <v>0</v>
      </c>
      <c r="H433">
        <f>AVERAGE(D9904:G9904)</f>
        <v/>
      </c>
    </row>
    <row r="434">
      <c r="A434" t="inlineStr">
        <is>
          <t>37181861</t>
        </is>
      </c>
      <c r="B434" t="inlineStr">
        <is>
          <t>PRODUCTO 6DC3C7</t>
        </is>
      </c>
      <c r="C434" t="inlineStr">
        <is>
          <t>San Borja</t>
        </is>
      </c>
      <c r="D434" t="n">
        <v>0</v>
      </c>
      <c r="E434" t="n">
        <v>0</v>
      </c>
      <c r="F434" t="n">
        <v>0</v>
      </c>
      <c r="G434" t="n">
        <v>0</v>
      </c>
      <c r="H434">
        <f>AVERAGE(D9905:G9905)</f>
        <v/>
      </c>
    </row>
    <row r="435">
      <c r="A435" t="inlineStr">
        <is>
          <t>37181861</t>
        </is>
      </c>
      <c r="B435" t="inlineStr">
        <is>
          <t>PRODUCTO 6DC3C7</t>
        </is>
      </c>
      <c r="C435" t="inlineStr">
        <is>
          <t>Piura</t>
        </is>
      </c>
      <c r="D435" t="n">
        <v>0</v>
      </c>
      <c r="E435" t="n">
        <v>0</v>
      </c>
      <c r="F435" t="n">
        <v>0</v>
      </c>
      <c r="G435" t="n">
        <v>0</v>
      </c>
      <c r="H435">
        <f>AVERAGE(D9907:G9907)</f>
        <v/>
      </c>
    </row>
    <row r="436">
      <c r="A436" t="inlineStr">
        <is>
          <t>37186804</t>
        </is>
      </c>
      <c r="B436" t="inlineStr">
        <is>
          <t>PRODUCTO 714B85</t>
        </is>
      </c>
      <c r="C436" t="inlineStr">
        <is>
          <t>Jockey Plaza</t>
        </is>
      </c>
      <c r="D436" t="n">
        <v>1</v>
      </c>
      <c r="E436" t="n">
        <v>1</v>
      </c>
      <c r="F436" t="n">
        <v>1</v>
      </c>
      <c r="G436" t="n">
        <v>0</v>
      </c>
      <c r="H436">
        <f>AVERAGE(D9948:G9948)</f>
        <v/>
      </c>
    </row>
    <row r="437">
      <c r="A437" t="inlineStr">
        <is>
          <t>37186804</t>
        </is>
      </c>
      <c r="B437" t="inlineStr">
        <is>
          <t>PRODUCTO 714B85</t>
        </is>
      </c>
      <c r="C437" t="inlineStr">
        <is>
          <t>San Miguel</t>
        </is>
      </c>
      <c r="D437" t="n">
        <v>0</v>
      </c>
      <c r="E437" t="n">
        <v>0</v>
      </c>
      <c r="F437" t="n">
        <v>0</v>
      </c>
      <c r="G437" t="n">
        <v>0</v>
      </c>
      <c r="H437">
        <f>AVERAGE(D9949:G9949)</f>
        <v/>
      </c>
    </row>
    <row r="438">
      <c r="A438" t="inlineStr">
        <is>
          <t>37186804</t>
        </is>
      </c>
      <c r="B438" t="inlineStr">
        <is>
          <t>PRODUCTO 714B85</t>
        </is>
      </c>
      <c r="C438" t="inlineStr">
        <is>
          <t>Miraflores</t>
        </is>
      </c>
      <c r="D438" t="n">
        <v>0</v>
      </c>
      <c r="E438" t="n">
        <v>0</v>
      </c>
      <c r="F438" t="n">
        <v>0</v>
      </c>
      <c r="G438" t="n">
        <v>0</v>
      </c>
      <c r="H438">
        <f>AVERAGE(D9950:G9950)</f>
        <v/>
      </c>
    </row>
    <row r="439">
      <c r="A439" t="inlineStr">
        <is>
          <t>37186804</t>
        </is>
      </c>
      <c r="B439" t="inlineStr">
        <is>
          <t>PRODUCTO 714B85</t>
        </is>
      </c>
      <c r="C439" t="inlineStr">
        <is>
          <t>Piura</t>
        </is>
      </c>
      <c r="D439" t="n">
        <v>0</v>
      </c>
      <c r="E439" t="n">
        <v>0</v>
      </c>
      <c r="F439" t="n">
        <v>0</v>
      </c>
      <c r="G439" t="n">
        <v>0</v>
      </c>
      <c r="H439">
        <f>AVERAGE(D9953:G9953)</f>
        <v/>
      </c>
    </row>
    <row r="440">
      <c r="A440" t="inlineStr">
        <is>
          <t>37198760</t>
        </is>
      </c>
      <c r="B440" t="inlineStr">
        <is>
          <t>PRODUCTO 3FEB4E</t>
        </is>
      </c>
      <c r="C440" t="inlineStr">
        <is>
          <t>Jockey Plaza</t>
        </is>
      </c>
      <c r="D440" t="n">
        <v>0</v>
      </c>
      <c r="E440" t="n">
        <v>0</v>
      </c>
      <c r="F440" t="n">
        <v>0</v>
      </c>
      <c r="G440" t="n">
        <v>0</v>
      </c>
      <c r="H440">
        <f>AVERAGE(D10188:G10188)</f>
        <v/>
      </c>
    </row>
    <row r="441">
      <c r="A441" t="inlineStr">
        <is>
          <t>37198760</t>
        </is>
      </c>
      <c r="B441" t="inlineStr">
        <is>
          <t>PRODUCTO 3FEB4E</t>
        </is>
      </c>
      <c r="C441" t="inlineStr">
        <is>
          <t>San Miguel</t>
        </is>
      </c>
      <c r="D441" t="n">
        <v>0</v>
      </c>
      <c r="E441" t="n">
        <v>0</v>
      </c>
      <c r="F441" t="n">
        <v>0</v>
      </c>
      <c r="G441" t="n">
        <v>0</v>
      </c>
      <c r="H441">
        <f>AVERAGE(D10189:G10189)</f>
        <v/>
      </c>
    </row>
    <row r="442">
      <c r="A442" t="inlineStr">
        <is>
          <t>37198760</t>
        </is>
      </c>
      <c r="B442" t="inlineStr">
        <is>
          <t>PRODUCTO 3FEB4E</t>
        </is>
      </c>
      <c r="C442" t="inlineStr">
        <is>
          <t>Miraflores</t>
        </is>
      </c>
      <c r="D442" t="n">
        <v>2</v>
      </c>
      <c r="E442" t="n">
        <v>1</v>
      </c>
      <c r="F442" t="n">
        <v>1</v>
      </c>
      <c r="G442" t="n">
        <v>1</v>
      </c>
      <c r="H442">
        <f>AVERAGE(D10190:G10190)</f>
        <v/>
      </c>
    </row>
    <row r="443">
      <c r="A443" t="inlineStr">
        <is>
          <t>37198760</t>
        </is>
      </c>
      <c r="B443" t="inlineStr">
        <is>
          <t>PRODUCTO 3FEB4E</t>
        </is>
      </c>
      <c r="C443" t="inlineStr">
        <is>
          <t>Salaverry</t>
        </is>
      </c>
      <c r="D443" t="n">
        <v>1</v>
      </c>
      <c r="E443" t="n">
        <v>0</v>
      </c>
      <c r="F443" t="n">
        <v>0</v>
      </c>
      <c r="G443" t="n">
        <v>1</v>
      </c>
      <c r="H443">
        <f>AVERAGE(D10198:G10198)</f>
        <v/>
      </c>
    </row>
    <row r="444">
      <c r="A444" t="inlineStr">
        <is>
          <t>37198760</t>
        </is>
      </c>
      <c r="B444" t="inlineStr">
        <is>
          <t>PRODUCTO 3FEB4E</t>
        </is>
      </c>
      <c r="C444" t="inlineStr">
        <is>
          <t>San Borja</t>
        </is>
      </c>
      <c r="D444" t="n">
        <v>0</v>
      </c>
      <c r="E444" t="n">
        <v>0</v>
      </c>
      <c r="F444" t="n">
        <v>0</v>
      </c>
      <c r="G444" t="n">
        <v>0</v>
      </c>
      <c r="H444">
        <f>AVERAGE(D10199:G10199)</f>
        <v/>
      </c>
    </row>
    <row r="445">
      <c r="A445" t="inlineStr">
        <is>
          <t>37198760</t>
        </is>
      </c>
      <c r="B445" t="inlineStr">
        <is>
          <t>PRODUCTO 3FEB4E</t>
        </is>
      </c>
      <c r="C445" t="inlineStr">
        <is>
          <t>Piura</t>
        </is>
      </c>
      <c r="D445" t="n">
        <v>0</v>
      </c>
      <c r="E445" t="n">
        <v>0</v>
      </c>
      <c r="F445" t="n">
        <v>0</v>
      </c>
      <c r="G445" t="n">
        <v>0</v>
      </c>
      <c r="H445">
        <f>AVERAGE(D10204:G10204)</f>
        <v/>
      </c>
    </row>
    <row r="446">
      <c r="A446" t="inlineStr">
        <is>
          <t>37198784</t>
        </is>
      </c>
      <c r="B446" t="inlineStr">
        <is>
          <t>PRODUCTO F9A206</t>
        </is>
      </c>
      <c r="C446" t="inlineStr">
        <is>
          <t>Jockey Plaza</t>
        </is>
      </c>
      <c r="D446" t="n">
        <v>1</v>
      </c>
      <c r="E446" t="n">
        <v>2</v>
      </c>
      <c r="F446" t="n">
        <v>1</v>
      </c>
      <c r="G446" t="n">
        <v>2</v>
      </c>
      <c r="H446">
        <f>AVERAGE(D10270:G10270)</f>
        <v/>
      </c>
    </row>
    <row r="447">
      <c r="A447" t="inlineStr">
        <is>
          <t>37198784</t>
        </is>
      </c>
      <c r="B447" t="inlineStr">
        <is>
          <t>PRODUCTO F9A206</t>
        </is>
      </c>
      <c r="C447" t="inlineStr">
        <is>
          <t>San Miguel</t>
        </is>
      </c>
      <c r="D447" t="n">
        <v>2</v>
      </c>
      <c r="E447" t="n">
        <v>3</v>
      </c>
      <c r="F447" t="n">
        <v>2</v>
      </c>
      <c r="G447" t="n">
        <v>3</v>
      </c>
      <c r="H447">
        <f>AVERAGE(D10271:G10271)</f>
        <v/>
      </c>
    </row>
    <row r="448">
      <c r="A448" t="inlineStr">
        <is>
          <t>37198784</t>
        </is>
      </c>
      <c r="B448" t="inlineStr">
        <is>
          <t>PRODUCTO F9A206</t>
        </is>
      </c>
      <c r="C448" t="inlineStr">
        <is>
          <t>Miraflores</t>
        </is>
      </c>
      <c r="D448" t="n">
        <v>1</v>
      </c>
      <c r="E448" t="n">
        <v>2</v>
      </c>
      <c r="F448" t="n">
        <v>1</v>
      </c>
      <c r="G448" t="n">
        <v>2</v>
      </c>
      <c r="H448">
        <f>AVERAGE(D10272:G10272)</f>
        <v/>
      </c>
    </row>
    <row r="449">
      <c r="A449" t="inlineStr">
        <is>
          <t>37198784</t>
        </is>
      </c>
      <c r="B449" t="inlineStr">
        <is>
          <t>PRODUCTO F9A206</t>
        </is>
      </c>
      <c r="C449" t="inlineStr">
        <is>
          <t>Salaverry</t>
        </is>
      </c>
      <c r="D449" t="n">
        <v>1</v>
      </c>
      <c r="E449" t="n">
        <v>2</v>
      </c>
      <c r="F449" t="n">
        <v>1</v>
      </c>
      <c r="G449" t="n">
        <v>2</v>
      </c>
      <c r="H449">
        <f>AVERAGE(D10281:G10281)</f>
        <v/>
      </c>
    </row>
    <row r="450">
      <c r="A450" t="inlineStr">
        <is>
          <t>37198784</t>
        </is>
      </c>
      <c r="B450" t="inlineStr">
        <is>
          <t>PRODUCTO F9A206</t>
        </is>
      </c>
      <c r="C450" t="inlineStr">
        <is>
          <t>San Borja</t>
        </is>
      </c>
      <c r="D450" t="n">
        <v>1</v>
      </c>
      <c r="E450" t="n">
        <v>2</v>
      </c>
      <c r="F450" t="n">
        <v>1</v>
      </c>
      <c r="G450" t="n">
        <v>2</v>
      </c>
      <c r="H450">
        <f>AVERAGE(D10282:G10282)</f>
        <v/>
      </c>
    </row>
    <row r="451">
      <c r="A451" t="inlineStr">
        <is>
          <t>37198784</t>
        </is>
      </c>
      <c r="B451" t="inlineStr">
        <is>
          <t>PRODUCTO F9A206</t>
        </is>
      </c>
      <c r="C451" t="inlineStr">
        <is>
          <t>Piura</t>
        </is>
      </c>
      <c r="D451" t="n">
        <v>2</v>
      </c>
      <c r="E451" t="n">
        <v>3</v>
      </c>
      <c r="F451" t="n">
        <v>2</v>
      </c>
      <c r="G451" t="n">
        <v>3</v>
      </c>
      <c r="H451">
        <f>AVERAGE(D10288:G10288)</f>
        <v/>
      </c>
    </row>
    <row r="452">
      <c r="A452" t="inlineStr">
        <is>
          <t>37198808</t>
        </is>
      </c>
      <c r="B452" t="inlineStr">
        <is>
          <t>PRODUCTO CAFF7F</t>
        </is>
      </c>
      <c r="C452" t="inlineStr">
        <is>
          <t>San Miguel</t>
        </is>
      </c>
      <c r="D452" t="n">
        <v>0</v>
      </c>
      <c r="E452" t="n">
        <v>0</v>
      </c>
      <c r="F452" t="n">
        <v>1</v>
      </c>
      <c r="G452" t="n">
        <v>1</v>
      </c>
      <c r="H452">
        <f>AVERAGE(D10358:G10358)</f>
        <v/>
      </c>
    </row>
    <row r="453">
      <c r="A453" t="inlineStr">
        <is>
          <t>37198808</t>
        </is>
      </c>
      <c r="B453" t="inlineStr">
        <is>
          <t>PRODUCTO CAFF7F</t>
        </is>
      </c>
      <c r="C453" t="inlineStr">
        <is>
          <t>Miraflores</t>
        </is>
      </c>
      <c r="D453" t="n">
        <v>0</v>
      </c>
      <c r="E453" t="n">
        <v>0</v>
      </c>
      <c r="F453" t="n">
        <v>1</v>
      </c>
      <c r="G453" t="n">
        <v>1</v>
      </c>
      <c r="H453">
        <f>AVERAGE(D10359:G10359)</f>
        <v/>
      </c>
    </row>
    <row r="454">
      <c r="A454" t="inlineStr">
        <is>
          <t>37227013</t>
        </is>
      </c>
      <c r="B454" t="inlineStr">
        <is>
          <t>PRODUCTO FE2A5F</t>
        </is>
      </c>
      <c r="C454" t="inlineStr">
        <is>
          <t>Jockey Plaza</t>
        </is>
      </c>
      <c r="D454" t="n">
        <v>0</v>
      </c>
      <c r="E454" t="n">
        <v>0</v>
      </c>
      <c r="F454" t="n">
        <v>0</v>
      </c>
      <c r="G454" t="n">
        <v>0</v>
      </c>
      <c r="H454">
        <f>AVERAGE(D10512:G10512)</f>
        <v/>
      </c>
    </row>
    <row r="455">
      <c r="A455" t="inlineStr">
        <is>
          <t>37227249</t>
        </is>
      </c>
      <c r="B455" t="inlineStr">
        <is>
          <t>PRODUCTO FD8318</t>
        </is>
      </c>
      <c r="C455" t="inlineStr">
        <is>
          <t>Jockey Plaza</t>
        </is>
      </c>
      <c r="D455" t="n">
        <v>1</v>
      </c>
      <c r="E455" t="n">
        <v>1</v>
      </c>
      <c r="F455" t="n">
        <v>1</v>
      </c>
      <c r="G455" t="n">
        <v>2</v>
      </c>
      <c r="H455">
        <f>AVERAGE(D10538:G10538)</f>
        <v/>
      </c>
    </row>
    <row r="456">
      <c r="A456" t="inlineStr">
        <is>
          <t>37227249</t>
        </is>
      </c>
      <c r="B456" t="inlineStr">
        <is>
          <t>PRODUCTO FD8318</t>
        </is>
      </c>
      <c r="C456" t="inlineStr">
        <is>
          <t>San Miguel</t>
        </is>
      </c>
      <c r="D456" t="n">
        <v>0</v>
      </c>
      <c r="E456" t="n">
        <v>0</v>
      </c>
      <c r="F456" t="n">
        <v>0</v>
      </c>
      <c r="G456" t="n">
        <v>0</v>
      </c>
      <c r="H456">
        <f>AVERAGE(D10539:G10539)</f>
        <v/>
      </c>
    </row>
    <row r="457">
      <c r="A457" t="inlineStr">
        <is>
          <t>37227249</t>
        </is>
      </c>
      <c r="B457" t="inlineStr">
        <is>
          <t>PRODUCTO FD8318</t>
        </is>
      </c>
      <c r="C457" t="inlineStr">
        <is>
          <t>Miraflores</t>
        </is>
      </c>
      <c r="D457" t="n">
        <v>1</v>
      </c>
      <c r="E457" t="n">
        <v>1</v>
      </c>
      <c r="F457" t="n">
        <v>1</v>
      </c>
      <c r="G457" t="n">
        <v>2</v>
      </c>
      <c r="H457">
        <f>AVERAGE(D10540:G10540)</f>
        <v/>
      </c>
    </row>
    <row r="458">
      <c r="A458" t="inlineStr">
        <is>
          <t>37227249</t>
        </is>
      </c>
      <c r="B458" t="inlineStr">
        <is>
          <t>PRODUCTO FD8318</t>
        </is>
      </c>
      <c r="C458" t="inlineStr">
        <is>
          <t>Salaverry</t>
        </is>
      </c>
      <c r="D458" t="n">
        <v>1</v>
      </c>
      <c r="E458" t="n">
        <v>1</v>
      </c>
      <c r="F458" t="n">
        <v>1</v>
      </c>
      <c r="G458" t="n">
        <v>2</v>
      </c>
      <c r="H458">
        <f>AVERAGE(D10546:G10546)</f>
        <v/>
      </c>
    </row>
    <row r="459">
      <c r="A459" t="inlineStr">
        <is>
          <t>37227249</t>
        </is>
      </c>
      <c r="B459" t="inlineStr">
        <is>
          <t>PRODUCTO FD8318</t>
        </is>
      </c>
      <c r="C459" t="inlineStr">
        <is>
          <t>San Borja</t>
        </is>
      </c>
      <c r="D459" t="n">
        <v>0</v>
      </c>
      <c r="E459" t="n">
        <v>0</v>
      </c>
      <c r="F459" t="n">
        <v>0</v>
      </c>
      <c r="G459" t="n">
        <v>0</v>
      </c>
      <c r="H459">
        <f>AVERAGE(D10547:G10547)</f>
        <v/>
      </c>
    </row>
    <row r="460">
      <c r="A460" t="inlineStr">
        <is>
          <t>37230052</t>
        </is>
      </c>
      <c r="B460" t="inlineStr">
        <is>
          <t>PRODUCTO 5DCA40</t>
        </is>
      </c>
      <c r="C460" t="inlineStr">
        <is>
          <t>Jockey Plaza</t>
        </is>
      </c>
      <c r="D460" t="n">
        <v>0</v>
      </c>
      <c r="E460" t="n">
        <v>0</v>
      </c>
      <c r="F460" t="n">
        <v>1</v>
      </c>
      <c r="G460" t="n">
        <v>0</v>
      </c>
      <c r="H460">
        <f>AVERAGE(D10586:G10586)</f>
        <v/>
      </c>
    </row>
    <row r="461">
      <c r="A461" t="inlineStr">
        <is>
          <t>37261659</t>
        </is>
      </c>
      <c r="B461" t="inlineStr">
        <is>
          <t>PRODUCTO 0DD0C3</t>
        </is>
      </c>
      <c r="C461" t="inlineStr">
        <is>
          <t>Jockey Plaza</t>
        </is>
      </c>
      <c r="D461" t="n">
        <v>0</v>
      </c>
      <c r="E461" t="n">
        <v>0</v>
      </c>
      <c r="F461" t="n">
        <v>0</v>
      </c>
      <c r="G461" t="n">
        <v>0</v>
      </c>
      <c r="H461">
        <f>AVERAGE(D10668:G10668)</f>
        <v/>
      </c>
    </row>
    <row r="462">
      <c r="A462" t="inlineStr">
        <is>
          <t>37261659</t>
        </is>
      </c>
      <c r="B462" t="inlineStr">
        <is>
          <t>PRODUCTO 0DD0C3</t>
        </is>
      </c>
      <c r="C462" t="inlineStr">
        <is>
          <t>San Miguel</t>
        </is>
      </c>
      <c r="D462" t="n">
        <v>1</v>
      </c>
      <c r="E462" t="n">
        <v>0</v>
      </c>
      <c r="F462" t="n">
        <v>0</v>
      </c>
      <c r="G462" t="n">
        <v>1</v>
      </c>
      <c r="H462">
        <f>AVERAGE(D10669:G10669)</f>
        <v/>
      </c>
    </row>
    <row r="463">
      <c r="A463" t="inlineStr">
        <is>
          <t>37261659</t>
        </is>
      </c>
      <c r="B463" t="inlineStr">
        <is>
          <t>PRODUCTO 0DD0C3</t>
        </is>
      </c>
      <c r="C463" t="inlineStr">
        <is>
          <t>Miraflores</t>
        </is>
      </c>
      <c r="D463" t="n">
        <v>1</v>
      </c>
      <c r="E463" t="n">
        <v>0</v>
      </c>
      <c r="F463" t="n">
        <v>0</v>
      </c>
      <c r="G463" t="n">
        <v>1</v>
      </c>
      <c r="H463">
        <f>AVERAGE(D10670:G10670)</f>
        <v/>
      </c>
    </row>
    <row r="464">
      <c r="A464" t="inlineStr">
        <is>
          <t>37261659</t>
        </is>
      </c>
      <c r="B464" t="inlineStr">
        <is>
          <t>PRODUCTO 0DD0C3</t>
        </is>
      </c>
      <c r="C464" t="inlineStr">
        <is>
          <t>Salaverry</t>
        </is>
      </c>
      <c r="D464" t="n">
        <v>1</v>
      </c>
      <c r="E464" t="n">
        <v>0</v>
      </c>
      <c r="F464" t="n">
        <v>0</v>
      </c>
      <c r="G464" t="n">
        <v>1</v>
      </c>
      <c r="H464">
        <f>AVERAGE(D10674:G10674)</f>
        <v/>
      </c>
    </row>
    <row r="465">
      <c r="A465" t="inlineStr">
        <is>
          <t>37261659</t>
        </is>
      </c>
      <c r="B465" t="inlineStr">
        <is>
          <t>PRODUCTO 0DD0C3</t>
        </is>
      </c>
      <c r="C465" t="inlineStr">
        <is>
          <t>San Borja</t>
        </is>
      </c>
      <c r="D465" t="n">
        <v>0</v>
      </c>
      <c r="E465" t="n">
        <v>0</v>
      </c>
      <c r="F465" t="n">
        <v>0</v>
      </c>
      <c r="G465" t="n">
        <v>0</v>
      </c>
      <c r="H465">
        <f>AVERAGE(D10675:G10675)</f>
        <v/>
      </c>
    </row>
    <row r="466">
      <c r="A466" t="inlineStr">
        <is>
          <t>37261672</t>
        </is>
      </c>
      <c r="B466" t="inlineStr">
        <is>
          <t>PRODUCTO E461F7</t>
        </is>
      </c>
      <c r="C466" t="inlineStr">
        <is>
          <t>Salaverry</t>
        </is>
      </c>
      <c r="D466" t="n">
        <v>0</v>
      </c>
      <c r="E466" t="n">
        <v>0</v>
      </c>
      <c r="F466" t="n">
        <v>0</v>
      </c>
      <c r="G466" t="n">
        <v>0</v>
      </c>
      <c r="H466">
        <f>AVERAGE(D10679:G10679)</f>
        <v/>
      </c>
    </row>
    <row r="467">
      <c r="A467" t="inlineStr">
        <is>
          <t>37261672</t>
        </is>
      </c>
      <c r="B467" t="inlineStr">
        <is>
          <t>PRODUCTO E461F7</t>
        </is>
      </c>
      <c r="C467" t="inlineStr">
        <is>
          <t>San Borja</t>
        </is>
      </c>
      <c r="D467" t="n">
        <v>0</v>
      </c>
      <c r="E467" t="n">
        <v>0</v>
      </c>
      <c r="F467" t="n">
        <v>0</v>
      </c>
      <c r="G467" t="n">
        <v>0</v>
      </c>
      <c r="H467">
        <f>AVERAGE(D10680:G10680)</f>
        <v/>
      </c>
    </row>
    <row r="468">
      <c r="A468" t="inlineStr">
        <is>
          <t>37291958</t>
        </is>
      </c>
      <c r="B468" t="inlineStr">
        <is>
          <t>PRODUCTO 6533AC</t>
        </is>
      </c>
      <c r="C468" t="inlineStr">
        <is>
          <t>Jockey Plaza</t>
        </is>
      </c>
      <c r="D468" t="n">
        <v>0</v>
      </c>
      <c r="E468" t="n">
        <v>0</v>
      </c>
      <c r="F468" t="n">
        <v>0</v>
      </c>
      <c r="G468" t="n">
        <v>0</v>
      </c>
      <c r="H468">
        <f>AVERAGE(D10714:G10714)</f>
        <v/>
      </c>
    </row>
    <row r="469">
      <c r="A469" t="inlineStr">
        <is>
          <t>37291958</t>
        </is>
      </c>
      <c r="B469" t="inlineStr">
        <is>
          <t>PRODUCTO 6533AC</t>
        </is>
      </c>
      <c r="C469" t="inlineStr">
        <is>
          <t>Miraflores</t>
        </is>
      </c>
      <c r="D469" t="n">
        <v>0</v>
      </c>
      <c r="E469" t="n">
        <v>0</v>
      </c>
      <c r="F469" t="n">
        <v>0</v>
      </c>
      <c r="G469" t="n">
        <v>0</v>
      </c>
      <c r="H469">
        <f>AVERAGE(D10715:G10715)</f>
        <v/>
      </c>
    </row>
    <row r="470">
      <c r="A470" t="inlineStr">
        <is>
          <t>37291958</t>
        </is>
      </c>
      <c r="B470" t="inlineStr">
        <is>
          <t>PRODUCTO 6533AC</t>
        </is>
      </c>
      <c r="C470" t="inlineStr">
        <is>
          <t>Salaverry</t>
        </is>
      </c>
      <c r="D470" t="n">
        <v>1</v>
      </c>
      <c r="E470" t="n">
        <v>0</v>
      </c>
      <c r="F470" t="n">
        <v>0</v>
      </c>
      <c r="G470" t="n">
        <v>0</v>
      </c>
      <c r="H470">
        <f>AVERAGE(D10718:G10718)</f>
        <v/>
      </c>
    </row>
    <row r="471">
      <c r="A471" t="inlineStr">
        <is>
          <t>37291958</t>
        </is>
      </c>
      <c r="B471" t="inlineStr">
        <is>
          <t>PRODUCTO 6533AC</t>
        </is>
      </c>
      <c r="C471" t="inlineStr">
        <is>
          <t>San Borja</t>
        </is>
      </c>
      <c r="D471" t="n">
        <v>0</v>
      </c>
      <c r="E471" t="n">
        <v>0</v>
      </c>
      <c r="F471" t="n">
        <v>0</v>
      </c>
      <c r="G471" t="n">
        <v>0</v>
      </c>
      <c r="H471">
        <f>AVERAGE(D10719:G10719)</f>
        <v/>
      </c>
    </row>
    <row r="472">
      <c r="A472" t="inlineStr">
        <is>
          <t>37291984</t>
        </is>
      </c>
      <c r="B472" t="inlineStr">
        <is>
          <t>PRODUCTO 98AFAB</t>
        </is>
      </c>
      <c r="C472" t="inlineStr">
        <is>
          <t>Jockey Plaza</t>
        </is>
      </c>
      <c r="D472" t="n">
        <v>0</v>
      </c>
      <c r="E472" t="n">
        <v>0</v>
      </c>
      <c r="F472" t="n">
        <v>0</v>
      </c>
      <c r="G472" t="n">
        <v>0</v>
      </c>
      <c r="H472">
        <f>AVERAGE(D10732:G10732)</f>
        <v/>
      </c>
    </row>
    <row r="473">
      <c r="A473" t="inlineStr">
        <is>
          <t>37291984</t>
        </is>
      </c>
      <c r="B473" t="inlineStr">
        <is>
          <t>PRODUCTO 98AFAB</t>
        </is>
      </c>
      <c r="C473" t="inlineStr">
        <is>
          <t>San Miguel</t>
        </is>
      </c>
      <c r="D473" t="n">
        <v>0</v>
      </c>
      <c r="E473" t="n">
        <v>0</v>
      </c>
      <c r="F473" t="n">
        <v>0</v>
      </c>
      <c r="G473" t="n">
        <v>0</v>
      </c>
      <c r="H473">
        <f>AVERAGE(D10733:G10733)</f>
        <v/>
      </c>
    </row>
    <row r="474">
      <c r="A474" t="inlineStr">
        <is>
          <t>37291984</t>
        </is>
      </c>
      <c r="B474" t="inlineStr">
        <is>
          <t>PRODUCTO 98AFAB</t>
        </is>
      </c>
      <c r="C474" t="inlineStr">
        <is>
          <t>Miraflores</t>
        </is>
      </c>
      <c r="D474" t="n">
        <v>0</v>
      </c>
      <c r="E474" t="n">
        <v>0</v>
      </c>
      <c r="F474" t="n">
        <v>0</v>
      </c>
      <c r="G474" t="n">
        <v>0</v>
      </c>
      <c r="H474">
        <f>AVERAGE(D10734:G10734)</f>
        <v/>
      </c>
    </row>
    <row r="475">
      <c r="A475" t="inlineStr">
        <is>
          <t>37291984</t>
        </is>
      </c>
      <c r="B475" t="inlineStr">
        <is>
          <t>PRODUCTO 98AFAB</t>
        </is>
      </c>
      <c r="C475" t="inlineStr">
        <is>
          <t>Salaverry</t>
        </is>
      </c>
      <c r="D475" t="n">
        <v>1</v>
      </c>
      <c r="E475" t="n">
        <v>1</v>
      </c>
      <c r="F475" t="n">
        <v>1</v>
      </c>
      <c r="G475" t="n">
        <v>1</v>
      </c>
      <c r="H475">
        <f>AVERAGE(D10738:G10738)</f>
        <v/>
      </c>
    </row>
    <row r="476">
      <c r="A476" t="inlineStr">
        <is>
          <t>37291984</t>
        </is>
      </c>
      <c r="B476" t="inlineStr">
        <is>
          <t>PRODUCTO 98AFAB</t>
        </is>
      </c>
      <c r="C476" t="inlineStr">
        <is>
          <t>San Borja</t>
        </is>
      </c>
      <c r="D476" t="n">
        <v>0</v>
      </c>
      <c r="E476" t="n">
        <v>0</v>
      </c>
      <c r="F476" t="n">
        <v>0</v>
      </c>
      <c r="G476" t="n">
        <v>0</v>
      </c>
      <c r="H476">
        <f>AVERAGE(D10739:G10739)</f>
        <v/>
      </c>
    </row>
    <row r="477">
      <c r="A477" t="inlineStr">
        <is>
          <t>37303728</t>
        </is>
      </c>
      <c r="B477" t="inlineStr">
        <is>
          <t>PRODUCTO EADA1A</t>
        </is>
      </c>
      <c r="C477" t="inlineStr">
        <is>
          <t>Jockey Plaza</t>
        </is>
      </c>
      <c r="D477" t="n">
        <v>3</v>
      </c>
      <c r="E477" t="n">
        <v>4</v>
      </c>
      <c r="F477" t="n">
        <v>3</v>
      </c>
      <c r="G477" t="n">
        <v>4</v>
      </c>
      <c r="H477">
        <f>AVERAGE(D10848:G10848)</f>
        <v/>
      </c>
    </row>
    <row r="478">
      <c r="A478" t="inlineStr">
        <is>
          <t>37303728</t>
        </is>
      </c>
      <c r="B478" t="inlineStr">
        <is>
          <t>PRODUCTO EADA1A</t>
        </is>
      </c>
      <c r="C478" t="inlineStr">
        <is>
          <t>San Miguel</t>
        </is>
      </c>
      <c r="D478" t="n">
        <v>2</v>
      </c>
      <c r="E478" t="n">
        <v>3</v>
      </c>
      <c r="F478" t="n">
        <v>2</v>
      </c>
      <c r="G478" t="n">
        <v>2</v>
      </c>
      <c r="H478">
        <f>AVERAGE(D10849:G10849)</f>
        <v/>
      </c>
    </row>
    <row r="479">
      <c r="A479" t="inlineStr">
        <is>
          <t>37303728</t>
        </is>
      </c>
      <c r="B479" t="inlineStr">
        <is>
          <t>PRODUCTO EADA1A</t>
        </is>
      </c>
      <c r="C479" t="inlineStr">
        <is>
          <t>Miraflores</t>
        </is>
      </c>
      <c r="D479" t="n">
        <v>1</v>
      </c>
      <c r="E479" t="n">
        <v>1</v>
      </c>
      <c r="F479" t="n">
        <v>1</v>
      </c>
      <c r="G479" t="n">
        <v>1</v>
      </c>
      <c r="H479">
        <f>AVERAGE(D10850:G10850)</f>
        <v/>
      </c>
    </row>
    <row r="480">
      <c r="A480" t="inlineStr">
        <is>
          <t>37303728</t>
        </is>
      </c>
      <c r="B480" t="inlineStr">
        <is>
          <t>PRODUCTO EADA1A</t>
        </is>
      </c>
      <c r="C480" t="inlineStr">
        <is>
          <t>Salaverry</t>
        </is>
      </c>
      <c r="D480" t="n">
        <v>1</v>
      </c>
      <c r="E480" t="n">
        <v>1</v>
      </c>
      <c r="F480" t="n">
        <v>1</v>
      </c>
      <c r="G480" t="n">
        <v>1</v>
      </c>
      <c r="H480">
        <f>AVERAGE(D10859:G10859)</f>
        <v/>
      </c>
    </row>
    <row r="481">
      <c r="A481" t="inlineStr">
        <is>
          <t>37303728</t>
        </is>
      </c>
      <c r="B481" t="inlineStr">
        <is>
          <t>PRODUCTO EADA1A</t>
        </is>
      </c>
      <c r="C481" t="inlineStr">
        <is>
          <t>San Borja</t>
        </is>
      </c>
      <c r="D481" t="n">
        <v>3</v>
      </c>
      <c r="E481" t="n">
        <v>4</v>
      </c>
      <c r="F481" t="n">
        <v>3</v>
      </c>
      <c r="G481" t="n">
        <v>4</v>
      </c>
      <c r="H481">
        <f>AVERAGE(D10860:G10860)</f>
        <v/>
      </c>
    </row>
    <row r="482">
      <c r="A482" t="inlineStr">
        <is>
          <t>37303728</t>
        </is>
      </c>
      <c r="B482" t="inlineStr">
        <is>
          <t>PRODUCTO EADA1A</t>
        </is>
      </c>
      <c r="C482" t="inlineStr">
        <is>
          <t>Piura</t>
        </is>
      </c>
      <c r="D482" t="n">
        <v>2</v>
      </c>
      <c r="E482" t="n">
        <v>3</v>
      </c>
      <c r="F482" t="n">
        <v>2</v>
      </c>
      <c r="G482" t="n">
        <v>2</v>
      </c>
      <c r="H482">
        <f>AVERAGE(D10866:G10866)</f>
        <v/>
      </c>
    </row>
    <row r="483">
      <c r="A483" t="inlineStr">
        <is>
          <t>37303749</t>
        </is>
      </c>
      <c r="B483" t="inlineStr">
        <is>
          <t>PRODUCTO 4335BB</t>
        </is>
      </c>
      <c r="C483" t="inlineStr">
        <is>
          <t>Jockey Plaza</t>
        </is>
      </c>
      <c r="D483" t="n">
        <v>0</v>
      </c>
      <c r="E483" t="n">
        <v>0</v>
      </c>
      <c r="F483" t="n">
        <v>0</v>
      </c>
      <c r="G483" t="n">
        <v>0</v>
      </c>
      <c r="H483">
        <f>AVERAGE(D10874:G10874)</f>
        <v/>
      </c>
    </row>
    <row r="484">
      <c r="A484" t="inlineStr">
        <is>
          <t>37303749</t>
        </is>
      </c>
      <c r="B484" t="inlineStr">
        <is>
          <t>PRODUCTO 4335BB</t>
        </is>
      </c>
      <c r="C484" t="inlineStr">
        <is>
          <t>San Miguel</t>
        </is>
      </c>
      <c r="D484" t="n">
        <v>1</v>
      </c>
      <c r="E484" t="n">
        <v>0</v>
      </c>
      <c r="F484" t="n">
        <v>1</v>
      </c>
      <c r="G484" t="n">
        <v>1</v>
      </c>
      <c r="H484">
        <f>AVERAGE(D10875:G10875)</f>
        <v/>
      </c>
    </row>
    <row r="485">
      <c r="A485" t="inlineStr">
        <is>
          <t>37303749</t>
        </is>
      </c>
      <c r="B485" t="inlineStr">
        <is>
          <t>PRODUCTO 4335BB</t>
        </is>
      </c>
      <c r="C485" t="inlineStr">
        <is>
          <t>Miraflores</t>
        </is>
      </c>
      <c r="D485" t="n">
        <v>0</v>
      </c>
      <c r="E485" t="n">
        <v>0</v>
      </c>
      <c r="F485" t="n">
        <v>0</v>
      </c>
      <c r="G485" t="n">
        <v>0</v>
      </c>
      <c r="H485">
        <f>AVERAGE(D10876:G10876)</f>
        <v/>
      </c>
    </row>
    <row r="486">
      <c r="A486" t="inlineStr">
        <is>
          <t>37303749</t>
        </is>
      </c>
      <c r="B486" t="inlineStr">
        <is>
          <t>PRODUCTO 4335BB</t>
        </is>
      </c>
      <c r="C486" t="inlineStr">
        <is>
          <t>Salaverry</t>
        </is>
      </c>
      <c r="D486" t="n">
        <v>0</v>
      </c>
      <c r="E486" t="n">
        <v>0</v>
      </c>
      <c r="F486" t="n">
        <v>0</v>
      </c>
      <c r="G486" t="n">
        <v>0</v>
      </c>
      <c r="H486">
        <f>AVERAGE(D10881:G10881)</f>
        <v/>
      </c>
    </row>
    <row r="487">
      <c r="A487" t="inlineStr">
        <is>
          <t>37303749</t>
        </is>
      </c>
      <c r="B487" t="inlineStr">
        <is>
          <t>PRODUCTO 4335BB</t>
        </is>
      </c>
      <c r="C487" t="inlineStr">
        <is>
          <t>San Borja</t>
        </is>
      </c>
      <c r="D487" t="n">
        <v>0</v>
      </c>
      <c r="E487" t="n">
        <v>0</v>
      </c>
      <c r="F487" t="n">
        <v>0</v>
      </c>
      <c r="G487" t="n">
        <v>0</v>
      </c>
      <c r="H487">
        <f>AVERAGE(D10882:G10882)</f>
        <v/>
      </c>
    </row>
    <row r="488">
      <c r="A488" t="inlineStr">
        <is>
          <t>37313683</t>
        </is>
      </c>
      <c r="B488" t="inlineStr">
        <is>
          <t>PRODUCTO D53ED5</t>
        </is>
      </c>
      <c r="C488" t="inlineStr">
        <is>
          <t>Piura</t>
        </is>
      </c>
      <c r="D488" t="n">
        <v>0</v>
      </c>
      <c r="E488" t="n">
        <v>0</v>
      </c>
      <c r="F488" t="n">
        <v>0</v>
      </c>
      <c r="G488" t="n">
        <v>0</v>
      </c>
      <c r="H488">
        <f>AVERAGE(D11035:G11035)</f>
        <v/>
      </c>
    </row>
    <row r="489">
      <c r="A489" t="inlineStr">
        <is>
          <t>37313696</t>
        </is>
      </c>
      <c r="B489" t="inlineStr">
        <is>
          <t>PRODUCTO 8B71C7</t>
        </is>
      </c>
      <c r="C489" t="inlineStr">
        <is>
          <t>Piura</t>
        </is>
      </c>
      <c r="D489" t="n">
        <v>0</v>
      </c>
      <c r="E489" t="n">
        <v>0</v>
      </c>
      <c r="F489" t="n">
        <v>0</v>
      </c>
      <c r="G489" t="n">
        <v>0</v>
      </c>
      <c r="H489">
        <f>AVERAGE(D11037:G11037)</f>
        <v/>
      </c>
    </row>
    <row r="490">
      <c r="A490" t="inlineStr">
        <is>
          <t>37341237</t>
        </is>
      </c>
      <c r="B490" t="inlineStr">
        <is>
          <t>PRODUCTO 12D54E</t>
        </is>
      </c>
      <c r="C490" t="inlineStr">
        <is>
          <t>Jockey Plaza</t>
        </is>
      </c>
      <c r="D490" t="n">
        <v>2</v>
      </c>
      <c r="E490" t="n">
        <v>0</v>
      </c>
      <c r="F490" t="n">
        <v>2</v>
      </c>
      <c r="G490" t="n">
        <v>2</v>
      </c>
      <c r="H490">
        <f>AVERAGE(D11172:G11172)</f>
        <v/>
      </c>
    </row>
    <row r="491">
      <c r="A491" t="inlineStr">
        <is>
          <t>37341237</t>
        </is>
      </c>
      <c r="B491" t="inlineStr">
        <is>
          <t>PRODUCTO 12D54E</t>
        </is>
      </c>
      <c r="C491" t="inlineStr">
        <is>
          <t>San Miguel</t>
        </is>
      </c>
      <c r="D491" t="n">
        <v>0</v>
      </c>
      <c r="E491" t="n">
        <v>0</v>
      </c>
      <c r="F491" t="n">
        <v>0</v>
      </c>
      <c r="G491" t="n">
        <v>0</v>
      </c>
      <c r="H491">
        <f>AVERAGE(D11173:G11173)</f>
        <v/>
      </c>
    </row>
    <row r="492">
      <c r="A492" t="inlineStr">
        <is>
          <t>37341237</t>
        </is>
      </c>
      <c r="B492" t="inlineStr">
        <is>
          <t>PRODUCTO 12D54E</t>
        </is>
      </c>
      <c r="C492" t="inlineStr">
        <is>
          <t>Miraflores</t>
        </is>
      </c>
      <c r="D492" t="n">
        <v>0</v>
      </c>
      <c r="E492" t="n">
        <v>0</v>
      </c>
      <c r="F492" t="n">
        <v>0</v>
      </c>
      <c r="G492" t="n">
        <v>0</v>
      </c>
      <c r="H492">
        <f>AVERAGE(D11174:G11174)</f>
        <v/>
      </c>
    </row>
    <row r="493">
      <c r="A493" t="inlineStr">
        <is>
          <t>37341237</t>
        </is>
      </c>
      <c r="B493" t="inlineStr">
        <is>
          <t>PRODUCTO 12D54E</t>
        </is>
      </c>
      <c r="C493" t="inlineStr">
        <is>
          <t>Salaverry</t>
        </is>
      </c>
      <c r="D493" t="n">
        <v>0</v>
      </c>
      <c r="E493" t="n">
        <v>0</v>
      </c>
      <c r="F493" t="n">
        <v>0</v>
      </c>
      <c r="G493" t="n">
        <v>0</v>
      </c>
      <c r="H493">
        <f>AVERAGE(D11181:G11181)</f>
        <v/>
      </c>
    </row>
    <row r="494">
      <c r="A494" t="inlineStr">
        <is>
          <t>37341237</t>
        </is>
      </c>
      <c r="B494" t="inlineStr">
        <is>
          <t>PRODUCTO 12D54E</t>
        </is>
      </c>
      <c r="C494" t="inlineStr">
        <is>
          <t>San Borja</t>
        </is>
      </c>
      <c r="D494" t="n">
        <v>1</v>
      </c>
      <c r="E494" t="n">
        <v>0</v>
      </c>
      <c r="F494" t="n">
        <v>1</v>
      </c>
      <c r="G494" t="n">
        <v>1</v>
      </c>
      <c r="H494">
        <f>AVERAGE(D11182:G11182)</f>
        <v/>
      </c>
    </row>
    <row r="495">
      <c r="A495" t="inlineStr">
        <is>
          <t>37351821</t>
        </is>
      </c>
      <c r="B495" t="inlineStr">
        <is>
          <t>PRODUCTO A1DEDF</t>
        </is>
      </c>
      <c r="C495" t="inlineStr">
        <is>
          <t>Jockey Plaza</t>
        </is>
      </c>
      <c r="D495" t="n">
        <v>0</v>
      </c>
      <c r="E495" t="n">
        <v>1</v>
      </c>
      <c r="F495" t="n">
        <v>0</v>
      </c>
      <c r="G495" t="n">
        <v>1</v>
      </c>
      <c r="H495">
        <f>AVERAGE(D11323:G11323)</f>
        <v/>
      </c>
    </row>
    <row r="496">
      <c r="A496" t="inlineStr">
        <is>
          <t>37351917</t>
        </is>
      </c>
      <c r="B496" t="inlineStr">
        <is>
          <t>PRODUCTO 33A73F</t>
        </is>
      </c>
      <c r="C496" t="inlineStr">
        <is>
          <t>Jockey Plaza</t>
        </is>
      </c>
      <c r="D496" t="n">
        <v>1</v>
      </c>
      <c r="E496" t="n">
        <v>0</v>
      </c>
      <c r="F496" t="n">
        <v>1</v>
      </c>
      <c r="G496" t="n">
        <v>0</v>
      </c>
      <c r="H496">
        <f>AVERAGE(D11344:G11344)</f>
        <v/>
      </c>
    </row>
    <row r="497">
      <c r="A497" t="inlineStr">
        <is>
          <t>37351917</t>
        </is>
      </c>
      <c r="B497" t="inlineStr">
        <is>
          <t>PRODUCTO 33A73F</t>
        </is>
      </c>
      <c r="C497" t="inlineStr">
        <is>
          <t>Miraflores</t>
        </is>
      </c>
      <c r="D497" t="n">
        <v>0</v>
      </c>
      <c r="E497" t="n">
        <v>0</v>
      </c>
      <c r="F497" t="n">
        <v>0</v>
      </c>
      <c r="G497" t="n">
        <v>0</v>
      </c>
      <c r="H497">
        <f>AVERAGE(D11345:G11345)</f>
        <v/>
      </c>
    </row>
    <row r="498">
      <c r="A498" t="inlineStr">
        <is>
          <t>37374984</t>
        </is>
      </c>
      <c r="B498" t="inlineStr">
        <is>
          <t>PRODUCTO 3E21AC</t>
        </is>
      </c>
      <c r="C498" t="inlineStr">
        <is>
          <t>Piura</t>
        </is>
      </c>
      <c r="D498" t="n">
        <v>0</v>
      </c>
      <c r="E498" t="n">
        <v>0</v>
      </c>
      <c r="F498" t="n">
        <v>0</v>
      </c>
      <c r="G498" t="n">
        <v>0</v>
      </c>
      <c r="H498">
        <f>AVERAGE(D11567:G11567)</f>
        <v/>
      </c>
    </row>
    <row r="499">
      <c r="A499" t="inlineStr">
        <is>
          <t>37375056</t>
        </is>
      </c>
      <c r="B499" t="inlineStr">
        <is>
          <t>PRODUCTO BA9075</t>
        </is>
      </c>
      <c r="C499" t="inlineStr">
        <is>
          <t>Miraflores</t>
        </is>
      </c>
      <c r="D499" t="n">
        <v>0</v>
      </c>
      <c r="E499" t="n">
        <v>0</v>
      </c>
      <c r="F499" t="n">
        <v>0</v>
      </c>
      <c r="G499" t="n">
        <v>0</v>
      </c>
      <c r="H499">
        <f>AVERAGE(D11604:G11604)</f>
        <v/>
      </c>
    </row>
    <row r="500">
      <c r="A500" t="inlineStr">
        <is>
          <t>37375061</t>
        </is>
      </c>
      <c r="B500" t="inlineStr">
        <is>
          <t>PRODUCTO 8DFA25</t>
        </is>
      </c>
      <c r="C500" t="inlineStr">
        <is>
          <t>Miraflores</t>
        </is>
      </c>
      <c r="D500" t="n">
        <v>0</v>
      </c>
      <c r="E500" t="n">
        <v>0</v>
      </c>
      <c r="F500" t="n">
        <v>0</v>
      </c>
      <c r="G500" t="n">
        <v>0</v>
      </c>
      <c r="H500">
        <f>AVERAGE(D11606:G11606)</f>
        <v/>
      </c>
    </row>
    <row r="501">
      <c r="A501" t="inlineStr">
        <is>
          <t>37375070</t>
        </is>
      </c>
      <c r="B501" t="inlineStr">
        <is>
          <t>PRODUCTO 94AA8D</t>
        </is>
      </c>
      <c r="C501" t="inlineStr">
        <is>
          <t>Jockey Plaza</t>
        </is>
      </c>
      <c r="D501" t="n">
        <v>0</v>
      </c>
      <c r="E501" t="n">
        <v>0</v>
      </c>
      <c r="F501" t="n">
        <v>0</v>
      </c>
      <c r="G501" t="n">
        <v>0</v>
      </c>
      <c r="H501">
        <f>AVERAGE(D11607:G11607)</f>
        <v/>
      </c>
    </row>
    <row r="502">
      <c r="A502" t="inlineStr">
        <is>
          <t>37375070</t>
        </is>
      </c>
      <c r="B502" t="inlineStr">
        <is>
          <t>PRODUCTO 94AA8D</t>
        </is>
      </c>
      <c r="C502" t="inlineStr">
        <is>
          <t>San Miguel</t>
        </is>
      </c>
      <c r="D502" t="n">
        <v>0</v>
      </c>
      <c r="E502" t="n">
        <v>0</v>
      </c>
      <c r="F502" t="n">
        <v>0</v>
      </c>
      <c r="G502" t="n">
        <v>0</v>
      </c>
      <c r="H502">
        <f>AVERAGE(D11608:G11608)</f>
        <v/>
      </c>
    </row>
    <row r="503">
      <c r="A503" t="inlineStr">
        <is>
          <t>37375070</t>
        </is>
      </c>
      <c r="B503" t="inlineStr">
        <is>
          <t>PRODUCTO 94AA8D</t>
        </is>
      </c>
      <c r="C503" t="inlineStr">
        <is>
          <t>Miraflores</t>
        </is>
      </c>
      <c r="D503" t="n">
        <v>0</v>
      </c>
      <c r="E503" t="n">
        <v>0</v>
      </c>
      <c r="F503" t="n">
        <v>0</v>
      </c>
      <c r="G503" t="n">
        <v>0</v>
      </c>
      <c r="H503">
        <f>AVERAGE(D11609:G11609)</f>
        <v/>
      </c>
    </row>
    <row r="504">
      <c r="A504" t="inlineStr">
        <is>
          <t>37375070</t>
        </is>
      </c>
      <c r="B504" t="inlineStr">
        <is>
          <t>PRODUCTO 94AA8D</t>
        </is>
      </c>
      <c r="C504" t="inlineStr">
        <is>
          <t>Salaverry</t>
        </is>
      </c>
      <c r="D504" t="n">
        <v>0</v>
      </c>
      <c r="E504" t="n">
        <v>0</v>
      </c>
      <c r="F504" t="n">
        <v>0</v>
      </c>
      <c r="G504" t="n">
        <v>0</v>
      </c>
      <c r="H504">
        <f>AVERAGE(D11611:G11611)</f>
        <v/>
      </c>
    </row>
    <row r="505">
      <c r="A505" t="inlineStr">
        <is>
          <t>37375070</t>
        </is>
      </c>
      <c r="B505" t="inlineStr">
        <is>
          <t>PRODUCTO 94AA8D</t>
        </is>
      </c>
      <c r="C505" t="inlineStr">
        <is>
          <t>San Borja</t>
        </is>
      </c>
      <c r="D505" t="n">
        <v>0</v>
      </c>
      <c r="E505" t="n">
        <v>0</v>
      </c>
      <c r="F505" t="n">
        <v>0</v>
      </c>
      <c r="G505" t="n">
        <v>0</v>
      </c>
      <c r="H505">
        <f>AVERAGE(D11612:G11612)</f>
        <v/>
      </c>
    </row>
    <row r="506">
      <c r="A506" t="inlineStr">
        <is>
          <t>37375070</t>
        </is>
      </c>
      <c r="B506" t="inlineStr">
        <is>
          <t>PRODUCTO 94AA8D</t>
        </is>
      </c>
      <c r="C506" t="inlineStr">
        <is>
          <t>Piura</t>
        </is>
      </c>
      <c r="D506" t="n">
        <v>0</v>
      </c>
      <c r="E506" t="n">
        <v>0</v>
      </c>
      <c r="F506" t="n">
        <v>0</v>
      </c>
      <c r="G506" t="n">
        <v>0</v>
      </c>
      <c r="H506">
        <f>AVERAGE(D11614:G11614)</f>
        <v/>
      </c>
    </row>
    <row r="507">
      <c r="A507" t="inlineStr">
        <is>
          <t>37375113</t>
        </is>
      </c>
      <c r="B507" t="inlineStr">
        <is>
          <t>PRODUCTO 753F22</t>
        </is>
      </c>
      <c r="C507" t="inlineStr">
        <is>
          <t>Jockey Plaza</t>
        </is>
      </c>
      <c r="D507" t="n">
        <v>0</v>
      </c>
      <c r="E507" t="n">
        <v>0</v>
      </c>
      <c r="F507" t="n">
        <v>0</v>
      </c>
      <c r="G507" t="n">
        <v>0</v>
      </c>
      <c r="H507">
        <f>AVERAGE(D11634:G11634)</f>
        <v/>
      </c>
    </row>
    <row r="508">
      <c r="A508" t="inlineStr">
        <is>
          <t>37375113</t>
        </is>
      </c>
      <c r="B508" t="inlineStr">
        <is>
          <t>PRODUCTO 753F22</t>
        </is>
      </c>
      <c r="C508" t="inlineStr">
        <is>
          <t>San Miguel</t>
        </is>
      </c>
      <c r="D508" t="n">
        <v>0</v>
      </c>
      <c r="E508" t="n">
        <v>0</v>
      </c>
      <c r="F508" t="n">
        <v>0</v>
      </c>
      <c r="G508" t="n">
        <v>0</v>
      </c>
      <c r="H508">
        <f>AVERAGE(D11635:G11635)</f>
        <v/>
      </c>
    </row>
    <row r="509">
      <c r="A509" t="inlineStr">
        <is>
          <t>37375113</t>
        </is>
      </c>
      <c r="B509" t="inlineStr">
        <is>
          <t>PRODUCTO 753F22</t>
        </is>
      </c>
      <c r="C509" t="inlineStr">
        <is>
          <t>Miraflores</t>
        </is>
      </c>
      <c r="D509" t="n">
        <v>2</v>
      </c>
      <c r="E509" t="n">
        <v>5</v>
      </c>
      <c r="F509" t="n">
        <v>5</v>
      </c>
      <c r="G509" t="n">
        <v>0</v>
      </c>
      <c r="H509">
        <f>AVERAGE(D11636:G11636)</f>
        <v/>
      </c>
    </row>
    <row r="510">
      <c r="A510" t="inlineStr">
        <is>
          <t>37375113</t>
        </is>
      </c>
      <c r="B510" t="inlineStr">
        <is>
          <t>PRODUCTO 753F22</t>
        </is>
      </c>
      <c r="C510" t="inlineStr">
        <is>
          <t>Salaverry</t>
        </is>
      </c>
      <c r="D510" t="n">
        <v>0</v>
      </c>
      <c r="E510" t="n">
        <v>0</v>
      </c>
      <c r="F510" t="n">
        <v>0</v>
      </c>
      <c r="G510" t="n">
        <v>0</v>
      </c>
      <c r="H510">
        <f>AVERAGE(D11639:G11639)</f>
        <v/>
      </c>
    </row>
    <row r="511">
      <c r="A511" t="inlineStr">
        <is>
          <t>37375113</t>
        </is>
      </c>
      <c r="B511" t="inlineStr">
        <is>
          <t>PRODUCTO 753F22</t>
        </is>
      </c>
      <c r="C511" t="inlineStr">
        <is>
          <t>San Borja</t>
        </is>
      </c>
      <c r="D511" t="n">
        <v>0</v>
      </c>
      <c r="E511" t="n">
        <v>0</v>
      </c>
      <c r="F511" t="n">
        <v>0</v>
      </c>
      <c r="G511" t="n">
        <v>0</v>
      </c>
      <c r="H511">
        <f>AVERAGE(D11640:G11640)</f>
        <v/>
      </c>
    </row>
    <row r="512">
      <c r="A512" t="inlineStr">
        <is>
          <t>37375128</t>
        </is>
      </c>
      <c r="B512" t="inlineStr">
        <is>
          <t>PRODUCTO 0E31D7</t>
        </is>
      </c>
      <c r="C512" t="inlineStr">
        <is>
          <t>San Miguel</t>
        </is>
      </c>
      <c r="D512" t="n">
        <v>0</v>
      </c>
      <c r="E512" t="n">
        <v>0</v>
      </c>
      <c r="F512" t="n">
        <v>0</v>
      </c>
      <c r="G512" t="n">
        <v>0</v>
      </c>
      <c r="H512">
        <f>AVERAGE(D11646:G11646)</f>
        <v/>
      </c>
    </row>
    <row r="513">
      <c r="A513" t="inlineStr">
        <is>
          <t>37375128</t>
        </is>
      </c>
      <c r="B513" t="inlineStr">
        <is>
          <t>PRODUCTO 0E31D7</t>
        </is>
      </c>
      <c r="C513" t="inlineStr">
        <is>
          <t>Miraflores</t>
        </is>
      </c>
      <c r="D513" t="n">
        <v>0</v>
      </c>
      <c r="E513" t="n">
        <v>0</v>
      </c>
      <c r="F513" t="n">
        <v>0</v>
      </c>
      <c r="G513" t="n">
        <v>0</v>
      </c>
      <c r="H513">
        <f>AVERAGE(D11647:G11647)</f>
        <v/>
      </c>
    </row>
    <row r="514">
      <c r="A514" t="inlineStr">
        <is>
          <t>37375128</t>
        </is>
      </c>
      <c r="B514" t="inlineStr">
        <is>
          <t>PRODUCTO 0E31D7</t>
        </is>
      </c>
      <c r="C514" t="inlineStr">
        <is>
          <t>Salaverry</t>
        </is>
      </c>
      <c r="D514" t="n">
        <v>0</v>
      </c>
      <c r="E514" t="n">
        <v>0</v>
      </c>
      <c r="F514" t="n">
        <v>0</v>
      </c>
      <c r="G514" t="n">
        <v>0</v>
      </c>
      <c r="H514">
        <f>AVERAGE(D11649:G11649)</f>
        <v/>
      </c>
    </row>
    <row r="515">
      <c r="A515" t="inlineStr">
        <is>
          <t>37375128</t>
        </is>
      </c>
      <c r="B515" t="inlineStr">
        <is>
          <t>PRODUCTO 0E31D7</t>
        </is>
      </c>
      <c r="C515" t="inlineStr">
        <is>
          <t>Piura</t>
        </is>
      </c>
      <c r="D515" t="n">
        <v>0</v>
      </c>
      <c r="E515" t="n">
        <v>0</v>
      </c>
      <c r="F515" t="n">
        <v>0</v>
      </c>
      <c r="G515" t="n">
        <v>0</v>
      </c>
      <c r="H515">
        <f>AVERAGE(D11651:G11651)</f>
        <v/>
      </c>
    </row>
    <row r="516">
      <c r="A516" t="inlineStr">
        <is>
          <t>37375202</t>
        </is>
      </c>
      <c r="B516" t="inlineStr">
        <is>
          <t>PRODUCTO E8AB0A</t>
        </is>
      </c>
      <c r="C516" t="inlineStr">
        <is>
          <t>Miraflores</t>
        </is>
      </c>
      <c r="D516" t="n">
        <v>0</v>
      </c>
      <c r="E516" t="n">
        <v>0</v>
      </c>
      <c r="F516" t="n">
        <v>0</v>
      </c>
      <c r="G516" t="n">
        <v>0</v>
      </c>
      <c r="H516">
        <f>AVERAGE(D11674:G11674)</f>
        <v/>
      </c>
    </row>
    <row r="517">
      <c r="A517" t="inlineStr">
        <is>
          <t>37375202</t>
        </is>
      </c>
      <c r="B517" t="inlineStr">
        <is>
          <t>PRODUCTO E8AB0A</t>
        </is>
      </c>
      <c r="C517" t="inlineStr">
        <is>
          <t>San Borja</t>
        </is>
      </c>
      <c r="D517" t="n">
        <v>0</v>
      </c>
      <c r="E517" t="n">
        <v>0</v>
      </c>
      <c r="F517" t="n">
        <v>0</v>
      </c>
      <c r="G517" t="n">
        <v>0</v>
      </c>
      <c r="H517">
        <f>AVERAGE(D11675:G11675)</f>
        <v/>
      </c>
    </row>
    <row r="518">
      <c r="A518" t="inlineStr">
        <is>
          <t>37376558</t>
        </is>
      </c>
      <c r="B518" t="inlineStr">
        <is>
          <t>PRODUCTO C18D7B</t>
        </is>
      </c>
      <c r="C518" t="inlineStr">
        <is>
          <t>Jockey Plaza</t>
        </is>
      </c>
      <c r="D518" t="n">
        <v>1</v>
      </c>
      <c r="E518" t="n">
        <v>0</v>
      </c>
      <c r="F518" t="n">
        <v>2</v>
      </c>
      <c r="G518" t="n">
        <v>1</v>
      </c>
      <c r="H518">
        <f>AVERAGE(D11683:G11683)</f>
        <v/>
      </c>
    </row>
    <row r="519">
      <c r="A519" t="inlineStr">
        <is>
          <t>37376558</t>
        </is>
      </c>
      <c r="B519" t="inlineStr">
        <is>
          <t>PRODUCTO C18D7B</t>
        </is>
      </c>
      <c r="C519" t="inlineStr">
        <is>
          <t>San Miguel</t>
        </is>
      </c>
      <c r="D519" t="n">
        <v>2</v>
      </c>
      <c r="E519" t="n">
        <v>1</v>
      </c>
      <c r="F519" t="n">
        <v>4</v>
      </c>
      <c r="G519" t="n">
        <v>2</v>
      </c>
      <c r="H519">
        <f>AVERAGE(D11684:G11684)</f>
        <v/>
      </c>
    </row>
    <row r="520">
      <c r="A520" t="inlineStr">
        <is>
          <t>37376558</t>
        </is>
      </c>
      <c r="B520" t="inlineStr">
        <is>
          <t>PRODUCTO C18D7B</t>
        </is>
      </c>
      <c r="C520" t="inlineStr">
        <is>
          <t>Miraflores</t>
        </is>
      </c>
      <c r="D520" t="n">
        <v>0</v>
      </c>
      <c r="E520" t="n">
        <v>0</v>
      </c>
      <c r="F520" t="n">
        <v>0</v>
      </c>
      <c r="G520" t="n">
        <v>0</v>
      </c>
      <c r="H520">
        <f>AVERAGE(D11685:G11685)</f>
        <v/>
      </c>
    </row>
    <row r="521">
      <c r="A521" t="inlineStr">
        <is>
          <t>37376558</t>
        </is>
      </c>
      <c r="B521" t="inlineStr">
        <is>
          <t>PRODUCTO C18D7B</t>
        </is>
      </c>
      <c r="C521" t="inlineStr">
        <is>
          <t>Salaverry</t>
        </is>
      </c>
      <c r="D521" t="n">
        <v>1</v>
      </c>
      <c r="E521" t="n">
        <v>0</v>
      </c>
      <c r="F521" t="n">
        <v>2</v>
      </c>
      <c r="G521" t="n">
        <v>1</v>
      </c>
      <c r="H521">
        <f>AVERAGE(D11688:G11688)</f>
        <v/>
      </c>
    </row>
    <row r="522">
      <c r="A522" t="inlineStr">
        <is>
          <t>37376558</t>
        </is>
      </c>
      <c r="B522" t="inlineStr">
        <is>
          <t>PRODUCTO C18D7B</t>
        </is>
      </c>
      <c r="C522" t="inlineStr">
        <is>
          <t>San Borja</t>
        </is>
      </c>
      <c r="D522" t="n">
        <v>0</v>
      </c>
      <c r="E522" t="n">
        <v>0</v>
      </c>
      <c r="F522" t="n">
        <v>0</v>
      </c>
      <c r="G522" t="n">
        <v>0</v>
      </c>
      <c r="H522">
        <f>AVERAGE(D11689:G11689)</f>
        <v/>
      </c>
    </row>
    <row r="523">
      <c r="A523" t="inlineStr">
        <is>
          <t>37376558</t>
        </is>
      </c>
      <c r="B523" t="inlineStr">
        <is>
          <t>PRODUCTO C18D7B</t>
        </is>
      </c>
      <c r="C523" t="inlineStr">
        <is>
          <t>Piura</t>
        </is>
      </c>
      <c r="D523" t="n">
        <v>5</v>
      </c>
      <c r="E523" t="n">
        <v>2</v>
      </c>
      <c r="F523" t="n">
        <v>10</v>
      </c>
      <c r="G523" t="n">
        <v>4</v>
      </c>
      <c r="H523">
        <f>AVERAGE(D11692:G11692)</f>
        <v/>
      </c>
    </row>
    <row r="524">
      <c r="A524" t="inlineStr">
        <is>
          <t>37376608</t>
        </is>
      </c>
      <c r="B524" t="inlineStr">
        <is>
          <t>PRODUCTO 174CCA</t>
        </is>
      </c>
      <c r="C524" t="inlineStr">
        <is>
          <t>Jockey Plaza</t>
        </is>
      </c>
      <c r="D524" t="n">
        <v>0</v>
      </c>
      <c r="E524" t="n">
        <v>0</v>
      </c>
      <c r="F524" t="n">
        <v>1</v>
      </c>
      <c r="G524" t="n">
        <v>0</v>
      </c>
      <c r="H524">
        <f>AVERAGE(D11699:G11699)</f>
        <v/>
      </c>
    </row>
    <row r="525">
      <c r="A525" t="inlineStr">
        <is>
          <t>37376608</t>
        </is>
      </c>
      <c r="B525" t="inlineStr">
        <is>
          <t>PRODUCTO 174CCA</t>
        </is>
      </c>
      <c r="C525" t="inlineStr">
        <is>
          <t>San Miguel</t>
        </is>
      </c>
      <c r="D525" t="n">
        <v>1</v>
      </c>
      <c r="E525" t="n">
        <v>0</v>
      </c>
      <c r="F525" t="n">
        <v>1</v>
      </c>
      <c r="G525" t="n">
        <v>0</v>
      </c>
      <c r="H525">
        <f>AVERAGE(D11700:G11700)</f>
        <v/>
      </c>
    </row>
    <row r="526">
      <c r="A526" t="inlineStr">
        <is>
          <t>37376608</t>
        </is>
      </c>
      <c r="B526" t="inlineStr">
        <is>
          <t>PRODUCTO 174CCA</t>
        </is>
      </c>
      <c r="C526" t="inlineStr">
        <is>
          <t>Miraflores</t>
        </is>
      </c>
      <c r="D526" t="n">
        <v>0</v>
      </c>
      <c r="E526" t="n">
        <v>0</v>
      </c>
      <c r="F526" t="n">
        <v>1</v>
      </c>
      <c r="G526" t="n">
        <v>0</v>
      </c>
      <c r="H526">
        <f>AVERAGE(D11701:G11701)</f>
        <v/>
      </c>
    </row>
    <row r="527">
      <c r="A527" t="inlineStr">
        <is>
          <t>37376608</t>
        </is>
      </c>
      <c r="B527" t="inlineStr">
        <is>
          <t>PRODUCTO 174CCA</t>
        </is>
      </c>
      <c r="C527" t="inlineStr">
        <is>
          <t>Salaverry</t>
        </is>
      </c>
      <c r="D527" t="n">
        <v>0</v>
      </c>
      <c r="E527" t="n">
        <v>0</v>
      </c>
      <c r="F527" t="n">
        <v>1</v>
      </c>
      <c r="G527" t="n">
        <v>0</v>
      </c>
      <c r="H527">
        <f>AVERAGE(D11702:G11702)</f>
        <v/>
      </c>
    </row>
    <row r="528">
      <c r="A528" t="inlineStr">
        <is>
          <t>37376608</t>
        </is>
      </c>
      <c r="B528" t="inlineStr">
        <is>
          <t>PRODUCTO 174CCA</t>
        </is>
      </c>
      <c r="C528" t="inlineStr">
        <is>
          <t>San Borja</t>
        </is>
      </c>
      <c r="D528" t="n">
        <v>0</v>
      </c>
      <c r="E528" t="n">
        <v>0</v>
      </c>
      <c r="F528" t="n">
        <v>1</v>
      </c>
      <c r="G528" t="n">
        <v>0</v>
      </c>
      <c r="H528">
        <f>AVERAGE(D11703:G11703)</f>
        <v/>
      </c>
    </row>
    <row r="529">
      <c r="A529" t="inlineStr">
        <is>
          <t>37376655</t>
        </is>
      </c>
      <c r="B529" t="inlineStr">
        <is>
          <t>PRODUCTO 756D38</t>
        </is>
      </c>
      <c r="C529" t="inlineStr">
        <is>
          <t>Salaverry</t>
        </is>
      </c>
      <c r="D529" t="n">
        <v>0</v>
      </c>
      <c r="E529" t="n">
        <v>0</v>
      </c>
      <c r="F529" t="n">
        <v>0</v>
      </c>
      <c r="G529" t="n">
        <v>0</v>
      </c>
      <c r="H529">
        <f>AVERAGE(D11721:G11721)</f>
        <v/>
      </c>
    </row>
    <row r="530">
      <c r="A530" t="inlineStr">
        <is>
          <t>37376693</t>
        </is>
      </c>
      <c r="B530" t="inlineStr">
        <is>
          <t>PRODUCTO 5958CC</t>
        </is>
      </c>
      <c r="C530" t="inlineStr">
        <is>
          <t>Jockey Plaza</t>
        </is>
      </c>
      <c r="D530" t="n">
        <v>0</v>
      </c>
      <c r="E530" t="n">
        <v>0</v>
      </c>
      <c r="F530" t="n">
        <v>0</v>
      </c>
      <c r="G530" t="n">
        <v>0</v>
      </c>
      <c r="H530">
        <f>AVERAGE(D11727:G11727)</f>
        <v/>
      </c>
    </row>
    <row r="531">
      <c r="A531" t="inlineStr">
        <is>
          <t>37376802</t>
        </is>
      </c>
      <c r="B531" t="inlineStr">
        <is>
          <t>PRODUCTO 546020</t>
        </is>
      </c>
      <c r="C531" t="inlineStr">
        <is>
          <t>Jockey Plaza</t>
        </is>
      </c>
      <c r="D531" t="n">
        <v>0</v>
      </c>
      <c r="E531" t="n">
        <v>1</v>
      </c>
      <c r="F531" t="n">
        <v>0</v>
      </c>
      <c r="G531" t="n">
        <v>1</v>
      </c>
      <c r="H531">
        <f>AVERAGE(D11767:G11767)</f>
        <v/>
      </c>
    </row>
    <row r="532">
      <c r="A532" t="inlineStr">
        <is>
          <t>37376802</t>
        </is>
      </c>
      <c r="B532" t="inlineStr">
        <is>
          <t>PRODUCTO 546020</t>
        </is>
      </c>
      <c r="C532" t="inlineStr">
        <is>
          <t>Miraflores</t>
        </is>
      </c>
      <c r="D532" t="n">
        <v>0</v>
      </c>
      <c r="E532" t="n">
        <v>1</v>
      </c>
      <c r="F532" t="n">
        <v>0</v>
      </c>
      <c r="G532" t="n">
        <v>1</v>
      </c>
      <c r="H532">
        <f>AVERAGE(D11768:G11768)</f>
        <v/>
      </c>
    </row>
    <row r="533">
      <c r="A533" t="inlineStr">
        <is>
          <t>37376815</t>
        </is>
      </c>
      <c r="B533" t="inlineStr">
        <is>
          <t>PRODUCTO 47363A</t>
        </is>
      </c>
      <c r="C533" t="inlineStr">
        <is>
          <t>Jockey Plaza</t>
        </is>
      </c>
      <c r="D533" t="n">
        <v>0</v>
      </c>
      <c r="E533" t="n">
        <v>3</v>
      </c>
      <c r="F533" t="n">
        <v>2</v>
      </c>
      <c r="G533" t="n">
        <v>1</v>
      </c>
      <c r="H533">
        <f>AVERAGE(D11774:G11774)</f>
        <v/>
      </c>
    </row>
    <row r="534">
      <c r="A534" t="inlineStr">
        <is>
          <t>37395314</t>
        </is>
      </c>
      <c r="B534" t="inlineStr">
        <is>
          <t>PRODUCTO BF51EB</t>
        </is>
      </c>
      <c r="C534" t="inlineStr">
        <is>
          <t>Jockey Plaza</t>
        </is>
      </c>
      <c r="D534" t="n">
        <v>0</v>
      </c>
      <c r="E534" t="n">
        <v>0</v>
      </c>
      <c r="F534" t="n">
        <v>0</v>
      </c>
      <c r="G534" t="n">
        <v>0</v>
      </c>
      <c r="H534">
        <f>AVERAGE(D11844:G11844)</f>
        <v/>
      </c>
    </row>
    <row r="535">
      <c r="A535" t="inlineStr">
        <is>
          <t>37395314</t>
        </is>
      </c>
      <c r="B535" t="inlineStr">
        <is>
          <t>PRODUCTO BF51EB</t>
        </is>
      </c>
      <c r="C535" t="inlineStr">
        <is>
          <t>San Miguel</t>
        </is>
      </c>
      <c r="D535" t="n">
        <v>0</v>
      </c>
      <c r="E535" t="n">
        <v>0</v>
      </c>
      <c r="F535" t="n">
        <v>0</v>
      </c>
      <c r="G535" t="n">
        <v>0</v>
      </c>
      <c r="H535">
        <f>AVERAGE(D11845:G11845)</f>
        <v/>
      </c>
    </row>
    <row r="536">
      <c r="A536" t="inlineStr">
        <is>
          <t>37395384</t>
        </is>
      </c>
      <c r="B536" t="inlineStr">
        <is>
          <t>PRODUCTO AE4F28</t>
        </is>
      </c>
      <c r="C536" t="inlineStr">
        <is>
          <t>Piura</t>
        </is>
      </c>
      <c r="D536" t="n">
        <v>0</v>
      </c>
      <c r="E536" t="n">
        <v>0</v>
      </c>
      <c r="F536" t="n">
        <v>0</v>
      </c>
      <c r="G536" t="n">
        <v>0</v>
      </c>
      <c r="H536">
        <f>AVERAGE(D11870:G11870)</f>
        <v/>
      </c>
    </row>
    <row r="537">
      <c r="A537" t="inlineStr">
        <is>
          <t>37449412</t>
        </is>
      </c>
      <c r="B537" t="inlineStr">
        <is>
          <t>PRODUCTO 474DE9</t>
        </is>
      </c>
      <c r="C537" t="inlineStr">
        <is>
          <t>Jockey Plaza</t>
        </is>
      </c>
      <c r="D537" t="n">
        <v>0</v>
      </c>
      <c r="E537" t="n">
        <v>0</v>
      </c>
      <c r="F537" t="n">
        <v>0</v>
      </c>
      <c r="G537" t="n">
        <v>0</v>
      </c>
      <c r="H537">
        <f>AVERAGE(D11952:G11952)</f>
        <v/>
      </c>
    </row>
    <row r="538">
      <c r="A538" t="inlineStr">
        <is>
          <t>37456391</t>
        </is>
      </c>
      <c r="B538" t="inlineStr">
        <is>
          <t>PRODUCTO A30D14</t>
        </is>
      </c>
      <c r="C538" t="inlineStr">
        <is>
          <t>Piura</t>
        </is>
      </c>
      <c r="D538" t="n">
        <v>0</v>
      </c>
      <c r="E538" t="n">
        <v>0</v>
      </c>
      <c r="F538" t="n">
        <v>0</v>
      </c>
      <c r="G538" t="n">
        <v>0</v>
      </c>
      <c r="H538">
        <f>AVERAGE(D12003:G12003)</f>
        <v/>
      </c>
    </row>
    <row r="539">
      <c r="A539" t="inlineStr">
        <is>
          <t>37460078</t>
        </is>
      </c>
      <c r="B539" t="inlineStr">
        <is>
          <t>PRODUCTO DC4C82</t>
        </is>
      </c>
      <c r="C539" t="inlineStr">
        <is>
          <t>Jockey Plaza</t>
        </is>
      </c>
      <c r="D539" t="n">
        <v>0</v>
      </c>
      <c r="E539" t="n">
        <v>0</v>
      </c>
      <c r="F539" t="n">
        <v>0</v>
      </c>
      <c r="G539" t="n">
        <v>0</v>
      </c>
      <c r="H539">
        <f>AVERAGE(D12056:G12056)</f>
        <v/>
      </c>
    </row>
    <row r="540">
      <c r="A540" t="inlineStr">
        <is>
          <t>37460078</t>
        </is>
      </c>
      <c r="B540" t="inlineStr">
        <is>
          <t>PRODUCTO DC4C82</t>
        </is>
      </c>
      <c r="C540" t="inlineStr">
        <is>
          <t>San Miguel</t>
        </is>
      </c>
      <c r="D540" t="n">
        <v>0</v>
      </c>
      <c r="E540" t="n">
        <v>0</v>
      </c>
      <c r="F540" t="n">
        <v>0</v>
      </c>
      <c r="G540" t="n">
        <v>0</v>
      </c>
      <c r="H540">
        <f>AVERAGE(D12057:G12057)</f>
        <v/>
      </c>
    </row>
    <row r="541">
      <c r="A541" t="inlineStr">
        <is>
          <t>37460078</t>
        </is>
      </c>
      <c r="B541" t="inlineStr">
        <is>
          <t>PRODUCTO DC4C82</t>
        </is>
      </c>
      <c r="C541" t="inlineStr">
        <is>
          <t>Miraflores</t>
        </is>
      </c>
      <c r="D541" t="n">
        <v>0</v>
      </c>
      <c r="E541" t="n">
        <v>0</v>
      </c>
      <c r="F541" t="n">
        <v>0</v>
      </c>
      <c r="G541" t="n">
        <v>0</v>
      </c>
      <c r="H541">
        <f>AVERAGE(D12058:G12058)</f>
        <v/>
      </c>
    </row>
    <row r="542">
      <c r="A542" t="inlineStr">
        <is>
          <t>37460078</t>
        </is>
      </c>
      <c r="B542" t="inlineStr">
        <is>
          <t>PRODUCTO DC4C82</t>
        </is>
      </c>
      <c r="C542" t="inlineStr">
        <is>
          <t>Salaverry</t>
        </is>
      </c>
      <c r="D542" t="n">
        <v>1</v>
      </c>
      <c r="E542" t="n">
        <v>2</v>
      </c>
      <c r="F542" t="n">
        <v>1</v>
      </c>
      <c r="G542" t="n">
        <v>0</v>
      </c>
      <c r="H542">
        <f>AVERAGE(D12062:G12062)</f>
        <v/>
      </c>
    </row>
    <row r="543">
      <c r="A543" t="inlineStr">
        <is>
          <t>37460078</t>
        </is>
      </c>
      <c r="B543" t="inlineStr">
        <is>
          <t>PRODUCTO DC4C82</t>
        </is>
      </c>
      <c r="C543" t="inlineStr">
        <is>
          <t>San Borja</t>
        </is>
      </c>
      <c r="D543" t="n">
        <v>3</v>
      </c>
      <c r="E543" t="n">
        <v>5</v>
      </c>
      <c r="F543" t="n">
        <v>3</v>
      </c>
      <c r="G543" t="n">
        <v>2</v>
      </c>
      <c r="H543">
        <f>AVERAGE(D12063:G12063)</f>
        <v/>
      </c>
    </row>
    <row r="544">
      <c r="A544" t="inlineStr">
        <is>
          <t>37567325</t>
        </is>
      </c>
      <c r="B544" t="inlineStr">
        <is>
          <t>PRODUCTO 2819BA</t>
        </is>
      </c>
      <c r="C544" t="inlineStr">
        <is>
          <t>Miraflores</t>
        </is>
      </c>
      <c r="D544" t="n">
        <v>0</v>
      </c>
      <c r="E544" t="n">
        <v>0</v>
      </c>
      <c r="F544" t="n">
        <v>0</v>
      </c>
      <c r="G544" t="n">
        <v>0</v>
      </c>
      <c r="H544">
        <f>AVERAGE(D12230:G12230)</f>
        <v/>
      </c>
    </row>
    <row r="545">
      <c r="A545" t="inlineStr">
        <is>
          <t>37567325</t>
        </is>
      </c>
      <c r="B545" t="inlineStr">
        <is>
          <t>PRODUCTO 2819BA</t>
        </is>
      </c>
      <c r="C545" t="inlineStr">
        <is>
          <t>San Borja</t>
        </is>
      </c>
      <c r="D545" t="n">
        <v>0</v>
      </c>
      <c r="E545" t="n">
        <v>0</v>
      </c>
      <c r="F545" t="n">
        <v>0</v>
      </c>
      <c r="G545" t="n">
        <v>0</v>
      </c>
      <c r="H545">
        <f>AVERAGE(D12232:G12232)</f>
        <v/>
      </c>
    </row>
    <row r="546">
      <c r="A546" t="inlineStr">
        <is>
          <t>37567346</t>
        </is>
      </c>
      <c r="B546" t="inlineStr">
        <is>
          <t>PRODUCTO 8528B6</t>
        </is>
      </c>
      <c r="C546" t="inlineStr">
        <is>
          <t>San Miguel</t>
        </is>
      </c>
      <c r="D546" t="n">
        <v>0</v>
      </c>
      <c r="E546" t="n">
        <v>0</v>
      </c>
      <c r="F546" t="n">
        <v>0</v>
      </c>
      <c r="G546" t="n">
        <v>0</v>
      </c>
      <c r="H546">
        <f>AVERAGE(D12237:G12237)</f>
        <v/>
      </c>
    </row>
    <row r="547">
      <c r="A547" t="inlineStr">
        <is>
          <t>37576793</t>
        </is>
      </c>
      <c r="B547" t="inlineStr">
        <is>
          <t>PRODUCTO D067A4</t>
        </is>
      </c>
      <c r="C547" t="inlineStr">
        <is>
          <t>Jockey Plaza</t>
        </is>
      </c>
      <c r="D547" t="n">
        <v>0</v>
      </c>
      <c r="E547" t="n">
        <v>0</v>
      </c>
      <c r="F547" t="n">
        <v>0</v>
      </c>
      <c r="G547" t="n">
        <v>0</v>
      </c>
      <c r="H547">
        <f>AVERAGE(D12304:G12304)</f>
        <v/>
      </c>
    </row>
    <row r="548">
      <c r="A548" t="inlineStr">
        <is>
          <t>37576793</t>
        </is>
      </c>
      <c r="B548" t="inlineStr">
        <is>
          <t>PRODUCTO D067A4</t>
        </is>
      </c>
      <c r="C548" t="inlineStr">
        <is>
          <t>San Miguel</t>
        </is>
      </c>
      <c r="D548" t="n">
        <v>0</v>
      </c>
      <c r="E548" t="n">
        <v>0</v>
      </c>
      <c r="F548" t="n">
        <v>0</v>
      </c>
      <c r="G548" t="n">
        <v>0</v>
      </c>
      <c r="H548">
        <f>AVERAGE(D12305:G12305)</f>
        <v/>
      </c>
    </row>
    <row r="549">
      <c r="A549" t="inlineStr">
        <is>
          <t>37576793</t>
        </is>
      </c>
      <c r="B549" t="inlineStr">
        <is>
          <t>PRODUCTO D067A4</t>
        </is>
      </c>
      <c r="C549" t="inlineStr">
        <is>
          <t>Miraflores</t>
        </is>
      </c>
      <c r="D549" t="n">
        <v>2</v>
      </c>
      <c r="E549" t="n">
        <v>2</v>
      </c>
      <c r="F549" t="n">
        <v>1</v>
      </c>
      <c r="G549" t="n">
        <v>0</v>
      </c>
      <c r="H549">
        <f>AVERAGE(D12306:G12306)</f>
        <v/>
      </c>
    </row>
    <row r="550">
      <c r="A550" t="inlineStr">
        <is>
          <t>37576793</t>
        </is>
      </c>
      <c r="B550" t="inlineStr">
        <is>
          <t>PRODUCTO D067A4</t>
        </is>
      </c>
      <c r="C550" t="inlineStr">
        <is>
          <t>Salaverry</t>
        </is>
      </c>
      <c r="D550" t="n">
        <v>1</v>
      </c>
      <c r="E550" t="n">
        <v>1</v>
      </c>
      <c r="F550" t="n">
        <v>0</v>
      </c>
      <c r="G550" t="n">
        <v>0</v>
      </c>
      <c r="H550">
        <f>AVERAGE(D12313:G12313)</f>
        <v/>
      </c>
    </row>
    <row r="551">
      <c r="A551" t="inlineStr">
        <is>
          <t>37576793</t>
        </is>
      </c>
      <c r="B551" t="inlineStr">
        <is>
          <t>PRODUCTO D067A4</t>
        </is>
      </c>
      <c r="C551" t="inlineStr">
        <is>
          <t>San Borja</t>
        </is>
      </c>
      <c r="D551" t="n">
        <v>1</v>
      </c>
      <c r="E551" t="n">
        <v>1</v>
      </c>
      <c r="F551" t="n">
        <v>0</v>
      </c>
      <c r="G551" t="n">
        <v>0</v>
      </c>
      <c r="H551">
        <f>AVERAGE(D12314:G12314)</f>
        <v/>
      </c>
    </row>
    <row r="552">
      <c r="A552" t="inlineStr">
        <is>
          <t>37576793</t>
        </is>
      </c>
      <c r="B552" t="inlineStr">
        <is>
          <t>PRODUCTO D067A4</t>
        </is>
      </c>
      <c r="C552" t="inlineStr">
        <is>
          <t>Piura</t>
        </is>
      </c>
      <c r="D552" t="n">
        <v>0</v>
      </c>
      <c r="E552" t="n">
        <v>0</v>
      </c>
      <c r="F552" t="n">
        <v>0</v>
      </c>
      <c r="G552" t="n">
        <v>0</v>
      </c>
      <c r="H552">
        <f>AVERAGE(D12316:G12316)</f>
        <v/>
      </c>
    </row>
    <row r="553">
      <c r="A553" t="inlineStr">
        <is>
          <t>37590066</t>
        </is>
      </c>
      <c r="B553" t="inlineStr">
        <is>
          <t>PRODUCTO 75A7B9</t>
        </is>
      </c>
      <c r="C553" t="inlineStr">
        <is>
          <t>San Miguel</t>
        </is>
      </c>
      <c r="D553" t="n">
        <v>0</v>
      </c>
      <c r="E553" t="n">
        <v>0</v>
      </c>
      <c r="F553" t="n">
        <v>0</v>
      </c>
      <c r="G553" t="n">
        <v>0</v>
      </c>
      <c r="H553">
        <f>AVERAGE(D12675:G12675)</f>
        <v/>
      </c>
    </row>
    <row r="554">
      <c r="A554" t="inlineStr">
        <is>
          <t>37590066</t>
        </is>
      </c>
      <c r="B554" t="inlineStr">
        <is>
          <t>PRODUCTO 75A7B9</t>
        </is>
      </c>
      <c r="C554" t="inlineStr">
        <is>
          <t>Piura</t>
        </is>
      </c>
      <c r="D554" t="n">
        <v>7</v>
      </c>
      <c r="E554" t="n">
        <v>0</v>
      </c>
      <c r="F554" t="n">
        <v>0</v>
      </c>
      <c r="G554" t="n">
        <v>0</v>
      </c>
      <c r="H554">
        <f>AVERAGE(D12678:G12678)</f>
        <v/>
      </c>
    </row>
    <row r="555">
      <c r="A555" t="inlineStr">
        <is>
          <t>37619852</t>
        </is>
      </c>
      <c r="B555" t="inlineStr">
        <is>
          <t>PRODUCTO DA102A</t>
        </is>
      </c>
      <c r="C555" t="inlineStr">
        <is>
          <t>Jockey Plaza</t>
        </is>
      </c>
      <c r="D555" t="n">
        <v>0</v>
      </c>
      <c r="E555" t="n">
        <v>0</v>
      </c>
      <c r="F555" t="n">
        <v>0</v>
      </c>
      <c r="G555" t="n">
        <v>0</v>
      </c>
      <c r="H555">
        <f>AVERAGE(D12714:G12714)</f>
        <v/>
      </c>
    </row>
    <row r="556">
      <c r="A556" t="inlineStr">
        <is>
          <t>37619852</t>
        </is>
      </c>
      <c r="B556" t="inlineStr">
        <is>
          <t>PRODUCTO DA102A</t>
        </is>
      </c>
      <c r="C556" t="inlineStr">
        <is>
          <t>San Miguel</t>
        </is>
      </c>
      <c r="D556" t="n">
        <v>1</v>
      </c>
      <c r="E556" t="n">
        <v>0</v>
      </c>
      <c r="F556" t="n">
        <v>0</v>
      </c>
      <c r="G556" t="n">
        <v>0</v>
      </c>
      <c r="H556">
        <f>AVERAGE(D12715:G12715)</f>
        <v/>
      </c>
    </row>
    <row r="557">
      <c r="A557" t="inlineStr">
        <is>
          <t>37619852</t>
        </is>
      </c>
      <c r="B557" t="inlineStr">
        <is>
          <t>PRODUCTO DA102A</t>
        </is>
      </c>
      <c r="C557" t="inlineStr">
        <is>
          <t>Miraflores</t>
        </is>
      </c>
      <c r="D557" t="n">
        <v>0</v>
      </c>
      <c r="E557" t="n">
        <v>0</v>
      </c>
      <c r="F557" t="n">
        <v>0</v>
      </c>
      <c r="G557" t="n">
        <v>0</v>
      </c>
      <c r="H557">
        <f>AVERAGE(D12716:G12716)</f>
        <v/>
      </c>
    </row>
    <row r="558">
      <c r="A558" t="inlineStr">
        <is>
          <t>37619852</t>
        </is>
      </c>
      <c r="B558" t="inlineStr">
        <is>
          <t>PRODUCTO DA102A</t>
        </is>
      </c>
      <c r="C558" t="inlineStr">
        <is>
          <t>Salaverry</t>
        </is>
      </c>
      <c r="D558" t="n">
        <v>3</v>
      </c>
      <c r="E558" t="n">
        <v>0</v>
      </c>
      <c r="F558" t="n">
        <v>0</v>
      </c>
      <c r="G558" t="n">
        <v>0</v>
      </c>
      <c r="H558">
        <f>AVERAGE(D12720:G12720)</f>
        <v/>
      </c>
    </row>
    <row r="559">
      <c r="A559" t="inlineStr">
        <is>
          <t>37619852</t>
        </is>
      </c>
      <c r="B559" t="inlineStr">
        <is>
          <t>PRODUCTO DA102A</t>
        </is>
      </c>
      <c r="C559" t="inlineStr">
        <is>
          <t>San Borja</t>
        </is>
      </c>
      <c r="D559" t="n">
        <v>0</v>
      </c>
      <c r="E559" t="n">
        <v>0</v>
      </c>
      <c r="F559" t="n">
        <v>0</v>
      </c>
      <c r="G559" t="n">
        <v>0</v>
      </c>
      <c r="H559">
        <f>AVERAGE(D12721:G12721)</f>
        <v/>
      </c>
    </row>
    <row r="560">
      <c r="A560" t="inlineStr">
        <is>
          <t>37619852</t>
        </is>
      </c>
      <c r="B560" t="inlineStr">
        <is>
          <t>PRODUCTO DA102A</t>
        </is>
      </c>
      <c r="C560" t="inlineStr">
        <is>
          <t>Piura</t>
        </is>
      </c>
      <c r="D560" t="n">
        <v>0</v>
      </c>
      <c r="E560" t="n">
        <v>0</v>
      </c>
      <c r="F560" t="n">
        <v>0</v>
      </c>
      <c r="G560" t="n">
        <v>0</v>
      </c>
      <c r="H560">
        <f>AVERAGE(D12723:G12723)</f>
        <v/>
      </c>
    </row>
    <row r="561">
      <c r="A561" t="inlineStr">
        <is>
          <t>37619882</t>
        </is>
      </c>
      <c r="B561" t="inlineStr">
        <is>
          <t>PRODUCTO 0A3B2F</t>
        </is>
      </c>
      <c r="C561" t="inlineStr">
        <is>
          <t>Jockey Plaza</t>
        </is>
      </c>
      <c r="D561" t="n">
        <v>1</v>
      </c>
      <c r="E561" t="n">
        <v>0</v>
      </c>
      <c r="F561" t="n">
        <v>0</v>
      </c>
      <c r="G561" t="n">
        <v>0</v>
      </c>
      <c r="H561">
        <f>AVERAGE(D12776:G12776)</f>
        <v/>
      </c>
    </row>
    <row r="562">
      <c r="A562" t="inlineStr">
        <is>
          <t>37619882</t>
        </is>
      </c>
      <c r="B562" t="inlineStr">
        <is>
          <t>PRODUCTO 0A3B2F</t>
        </is>
      </c>
      <c r="C562" t="inlineStr">
        <is>
          <t>San Miguel</t>
        </is>
      </c>
      <c r="D562" t="n">
        <v>0</v>
      </c>
      <c r="E562" t="n">
        <v>0</v>
      </c>
      <c r="F562" t="n">
        <v>0</v>
      </c>
      <c r="G562" t="n">
        <v>0</v>
      </c>
      <c r="H562">
        <f>AVERAGE(D12777:G12777)</f>
        <v/>
      </c>
    </row>
    <row r="563">
      <c r="A563" t="inlineStr">
        <is>
          <t>37619882</t>
        </is>
      </c>
      <c r="B563" t="inlineStr">
        <is>
          <t>PRODUCTO 0A3B2F</t>
        </is>
      </c>
      <c r="C563" t="inlineStr">
        <is>
          <t>Miraflores</t>
        </is>
      </c>
      <c r="D563" t="n">
        <v>0</v>
      </c>
      <c r="E563" t="n">
        <v>0</v>
      </c>
      <c r="F563" t="n">
        <v>0</v>
      </c>
      <c r="G563" t="n">
        <v>0</v>
      </c>
      <c r="H563">
        <f>AVERAGE(D12778:G12778)</f>
        <v/>
      </c>
    </row>
    <row r="564">
      <c r="A564" t="inlineStr">
        <is>
          <t>37619882</t>
        </is>
      </c>
      <c r="B564" t="inlineStr">
        <is>
          <t>PRODUCTO 0A3B2F</t>
        </is>
      </c>
      <c r="C564" t="inlineStr">
        <is>
          <t>Salaverry</t>
        </is>
      </c>
      <c r="D564" t="n">
        <v>2</v>
      </c>
      <c r="E564" t="n">
        <v>0</v>
      </c>
      <c r="F564" t="n">
        <v>0</v>
      </c>
      <c r="G564" t="n">
        <v>0</v>
      </c>
      <c r="H564">
        <f>AVERAGE(D12785:G12785)</f>
        <v/>
      </c>
    </row>
    <row r="565">
      <c r="A565" t="inlineStr">
        <is>
          <t>37619882</t>
        </is>
      </c>
      <c r="B565" t="inlineStr">
        <is>
          <t>PRODUCTO 0A3B2F</t>
        </is>
      </c>
      <c r="C565" t="inlineStr">
        <is>
          <t>San Borja</t>
        </is>
      </c>
      <c r="D565" t="n">
        <v>3</v>
      </c>
      <c r="E565" t="n">
        <v>0</v>
      </c>
      <c r="F565" t="n">
        <v>0</v>
      </c>
      <c r="G565" t="n">
        <v>0</v>
      </c>
      <c r="H565">
        <f>AVERAGE(D12786:G12786)</f>
        <v/>
      </c>
    </row>
    <row r="566">
      <c r="A566" t="inlineStr">
        <is>
          <t>37619882</t>
        </is>
      </c>
      <c r="B566" t="inlineStr">
        <is>
          <t>PRODUCTO 0A3B2F</t>
        </is>
      </c>
      <c r="C566" t="inlineStr">
        <is>
          <t>Piura</t>
        </is>
      </c>
      <c r="D566" t="n">
        <v>0</v>
      </c>
      <c r="E566" t="n">
        <v>0</v>
      </c>
      <c r="F566" t="n">
        <v>0</v>
      </c>
      <c r="G566" t="n">
        <v>0</v>
      </c>
      <c r="H566">
        <f>AVERAGE(D12788:G12788)</f>
        <v/>
      </c>
    </row>
    <row r="567">
      <c r="A567" t="inlineStr">
        <is>
          <t>32063121</t>
        </is>
      </c>
      <c r="B567" t="inlineStr">
        <is>
          <t>PRODUCTO AB2B54</t>
        </is>
      </c>
      <c r="C567" t="inlineStr">
        <is>
          <t>Jockey Plaza</t>
        </is>
      </c>
      <c r="D567" t="n">
        <v>0</v>
      </c>
      <c r="E567" t="n">
        <v>0</v>
      </c>
      <c r="F567" t="n">
        <v>0</v>
      </c>
      <c r="G567" t="n">
        <v>0</v>
      </c>
      <c r="H567">
        <f>AVERAGE(D12875:G12875)</f>
        <v/>
      </c>
    </row>
    <row r="568">
      <c r="A568" t="inlineStr">
        <is>
          <t>32489536</t>
        </is>
      </c>
      <c r="B568" t="inlineStr">
        <is>
          <t>PRODUCTO ECEFBC</t>
        </is>
      </c>
      <c r="C568" t="inlineStr">
        <is>
          <t>Jockey Plaza</t>
        </is>
      </c>
      <c r="D568" t="n">
        <v>0</v>
      </c>
      <c r="E568" t="n">
        <v>0</v>
      </c>
      <c r="F568" t="n">
        <v>0</v>
      </c>
      <c r="G568" t="n">
        <v>0</v>
      </c>
      <c r="H568">
        <f>AVERAGE(D12889:G12889)</f>
        <v/>
      </c>
    </row>
    <row r="569">
      <c r="A569" t="inlineStr">
        <is>
          <t>33552621</t>
        </is>
      </c>
      <c r="B569" t="inlineStr">
        <is>
          <t>PRODUCTO 69D7E3</t>
        </is>
      </c>
      <c r="C569" t="inlineStr">
        <is>
          <t>Jockey Plaza</t>
        </is>
      </c>
      <c r="D569" t="n">
        <v>0</v>
      </c>
      <c r="E569" t="n">
        <v>0</v>
      </c>
      <c r="F569" t="n">
        <v>0</v>
      </c>
      <c r="G569" t="n">
        <v>0</v>
      </c>
      <c r="H569">
        <f>AVERAGE(D12980:G12980)</f>
        <v/>
      </c>
    </row>
    <row r="570">
      <c r="A570" t="inlineStr">
        <is>
          <t>33552692</t>
        </is>
      </c>
      <c r="B570" t="inlineStr">
        <is>
          <t>PRODUCTO DF2069</t>
        </is>
      </c>
      <c r="C570" t="inlineStr">
        <is>
          <t>Jockey Plaza</t>
        </is>
      </c>
      <c r="D570" t="n">
        <v>0</v>
      </c>
      <c r="E570" t="n">
        <v>0</v>
      </c>
      <c r="F570" t="n">
        <v>0</v>
      </c>
      <c r="G570" t="n">
        <v>0</v>
      </c>
      <c r="H570">
        <f>AVERAGE(D12995:G12995)</f>
        <v/>
      </c>
    </row>
    <row r="571">
      <c r="A571" t="inlineStr">
        <is>
          <t>33552692</t>
        </is>
      </c>
      <c r="B571" t="inlineStr">
        <is>
          <t>PRODUCTO DF2069</t>
        </is>
      </c>
      <c r="C571" t="inlineStr">
        <is>
          <t>San Borja</t>
        </is>
      </c>
      <c r="D571" t="n">
        <v>0</v>
      </c>
      <c r="E571" t="n">
        <v>0</v>
      </c>
      <c r="F571" t="n">
        <v>0</v>
      </c>
      <c r="G571" t="n">
        <v>0</v>
      </c>
      <c r="H571">
        <f>AVERAGE(D12997:G12997)</f>
        <v/>
      </c>
    </row>
    <row r="572">
      <c r="A572" t="inlineStr">
        <is>
          <t>33621073</t>
        </is>
      </c>
      <c r="B572" t="inlineStr">
        <is>
          <t>PRODUCTO FE8A2E</t>
        </is>
      </c>
      <c r="C572" t="inlineStr">
        <is>
          <t>Jockey Plaza</t>
        </is>
      </c>
      <c r="D572" t="n">
        <v>0</v>
      </c>
      <c r="E572" t="n">
        <v>0</v>
      </c>
      <c r="F572" t="n">
        <v>0</v>
      </c>
      <c r="G572" t="n">
        <v>0</v>
      </c>
      <c r="H572">
        <f>AVERAGE(D13006:G13006)</f>
        <v/>
      </c>
    </row>
    <row r="573">
      <c r="A573" t="inlineStr">
        <is>
          <t>33621073</t>
        </is>
      </c>
      <c r="B573" t="inlineStr">
        <is>
          <t>PRODUCTO FE8A2E</t>
        </is>
      </c>
      <c r="C573" t="inlineStr">
        <is>
          <t>San Borja</t>
        </is>
      </c>
      <c r="D573" t="n">
        <v>0</v>
      </c>
      <c r="E573" t="n">
        <v>0</v>
      </c>
      <c r="F573" t="n">
        <v>0</v>
      </c>
      <c r="G573" t="n">
        <v>0</v>
      </c>
      <c r="H573">
        <f>AVERAGE(D13007:G13007)</f>
        <v/>
      </c>
    </row>
    <row r="574">
      <c r="A574" t="inlineStr">
        <is>
          <t>33763379</t>
        </is>
      </c>
      <c r="B574" t="inlineStr">
        <is>
          <t>PRODUCTO F2E3F6</t>
        </is>
      </c>
      <c r="C574" t="inlineStr">
        <is>
          <t>Salaverry</t>
        </is>
      </c>
      <c r="D574" t="n">
        <v>0</v>
      </c>
      <c r="E574" t="n">
        <v>0</v>
      </c>
      <c r="F574" t="n">
        <v>0</v>
      </c>
      <c r="G574" t="n">
        <v>0</v>
      </c>
      <c r="H574">
        <f>AVERAGE(D13009:G13009)</f>
        <v/>
      </c>
    </row>
    <row r="575">
      <c r="A575" t="inlineStr">
        <is>
          <t>33820383</t>
        </is>
      </c>
      <c r="B575" t="inlineStr">
        <is>
          <t>PRODUCTO C0EC4A</t>
        </is>
      </c>
      <c r="C575" t="inlineStr">
        <is>
          <t>Salaverry</t>
        </is>
      </c>
      <c r="D575" t="n">
        <v>0</v>
      </c>
      <c r="E575" t="n">
        <v>0</v>
      </c>
      <c r="F575" t="n">
        <v>0</v>
      </c>
      <c r="G575" t="n">
        <v>0</v>
      </c>
      <c r="H575">
        <f>AVERAGE(D13066:G13066)</f>
        <v/>
      </c>
    </row>
    <row r="576">
      <c r="A576" t="inlineStr">
        <is>
          <t>34186228</t>
        </is>
      </c>
      <c r="B576" t="inlineStr">
        <is>
          <t>PRODUCTO 4C9757</t>
        </is>
      </c>
      <c r="C576" t="inlineStr">
        <is>
          <t>Jockey Plaza</t>
        </is>
      </c>
      <c r="D576" t="n">
        <v>1</v>
      </c>
      <c r="E576" t="n">
        <v>2</v>
      </c>
      <c r="F576" t="n">
        <v>2</v>
      </c>
      <c r="G576" t="n">
        <v>1</v>
      </c>
      <c r="H576">
        <f>AVERAGE(D13116:G13116)</f>
        <v/>
      </c>
    </row>
    <row r="577">
      <c r="A577" t="inlineStr">
        <is>
          <t>34186228</t>
        </is>
      </c>
      <c r="B577" t="inlineStr">
        <is>
          <t>PRODUCTO 4C9757</t>
        </is>
      </c>
      <c r="C577" t="inlineStr">
        <is>
          <t>San Miguel</t>
        </is>
      </c>
      <c r="D577" t="n">
        <v>0</v>
      </c>
      <c r="E577" t="n">
        <v>0</v>
      </c>
      <c r="F577" t="n">
        <v>0</v>
      </c>
      <c r="G577" t="n">
        <v>0</v>
      </c>
      <c r="H577">
        <f>AVERAGE(D13117:G13117)</f>
        <v/>
      </c>
    </row>
    <row r="578">
      <c r="A578" t="inlineStr">
        <is>
          <t>34186228</t>
        </is>
      </c>
      <c r="B578" t="inlineStr">
        <is>
          <t>PRODUCTO 4C9757</t>
        </is>
      </c>
      <c r="C578" t="inlineStr">
        <is>
          <t>Miraflores</t>
        </is>
      </c>
      <c r="D578" t="n">
        <v>0</v>
      </c>
      <c r="E578" t="n">
        <v>0</v>
      </c>
      <c r="F578" t="n">
        <v>0</v>
      </c>
      <c r="G578" t="n">
        <v>0</v>
      </c>
      <c r="H578">
        <f>AVERAGE(D13118:G13118)</f>
        <v/>
      </c>
    </row>
    <row r="579">
      <c r="A579" t="inlineStr">
        <is>
          <t>34186228</t>
        </is>
      </c>
      <c r="B579" t="inlineStr">
        <is>
          <t>PRODUCTO 4C9757</t>
        </is>
      </c>
      <c r="C579" t="inlineStr">
        <is>
          <t>San Borja</t>
        </is>
      </c>
      <c r="D579" t="n">
        <v>0</v>
      </c>
      <c r="E579" t="n">
        <v>0</v>
      </c>
      <c r="F579" t="n">
        <v>0</v>
      </c>
      <c r="G579" t="n">
        <v>0</v>
      </c>
      <c r="H579">
        <f>AVERAGE(D13125:G13125)</f>
        <v/>
      </c>
    </row>
    <row r="580">
      <c r="A580" t="inlineStr">
        <is>
          <t>34186228</t>
        </is>
      </c>
      <c r="B580" t="inlineStr">
        <is>
          <t>PRODUCTO 4C9757</t>
        </is>
      </c>
      <c r="C580" t="inlineStr">
        <is>
          <t>Piura</t>
        </is>
      </c>
      <c r="D580" t="n">
        <v>0</v>
      </c>
      <c r="E580" t="n">
        <v>0</v>
      </c>
      <c r="F580" t="n">
        <v>0</v>
      </c>
      <c r="G580" t="n">
        <v>0</v>
      </c>
      <c r="H580">
        <f>AVERAGE(D13128:G13128)</f>
        <v/>
      </c>
    </row>
    <row r="581">
      <c r="A581" t="inlineStr">
        <is>
          <t>35040381</t>
        </is>
      </c>
      <c r="B581" t="inlineStr">
        <is>
          <t>PRODUCTO F0C252</t>
        </is>
      </c>
      <c r="C581" t="inlineStr">
        <is>
          <t>Miraflores</t>
        </is>
      </c>
      <c r="D581" t="n">
        <v>0</v>
      </c>
      <c r="E581" t="n">
        <v>0</v>
      </c>
      <c r="F581" t="n">
        <v>0</v>
      </c>
      <c r="G581" t="n">
        <v>0</v>
      </c>
      <c r="H581">
        <f>AVERAGE(D13191:G13191)</f>
        <v/>
      </c>
    </row>
    <row r="582">
      <c r="A582" t="inlineStr">
        <is>
          <t>35040381</t>
        </is>
      </c>
      <c r="B582" t="inlineStr">
        <is>
          <t>PRODUCTO F0C252</t>
        </is>
      </c>
      <c r="C582" t="inlineStr">
        <is>
          <t>San Borja</t>
        </is>
      </c>
      <c r="D582" t="n">
        <v>0</v>
      </c>
      <c r="E582" t="n">
        <v>0</v>
      </c>
      <c r="F582" t="n">
        <v>0</v>
      </c>
      <c r="G582" t="n">
        <v>0</v>
      </c>
      <c r="H582">
        <f>AVERAGE(D13196:G13196)</f>
        <v/>
      </c>
    </row>
    <row r="583">
      <c r="A583" t="inlineStr">
        <is>
          <t>35471795</t>
        </is>
      </c>
      <c r="B583" t="inlineStr">
        <is>
          <t>PRODUCTO 384F79</t>
        </is>
      </c>
      <c r="C583" t="inlineStr">
        <is>
          <t>Jockey Plaza</t>
        </is>
      </c>
      <c r="D583" t="n">
        <v>1</v>
      </c>
      <c r="E583" t="n">
        <v>0</v>
      </c>
      <c r="F583" t="n">
        <v>0</v>
      </c>
      <c r="G583" t="n">
        <v>0</v>
      </c>
      <c r="H583">
        <f>AVERAGE(D13288:G13288)</f>
        <v/>
      </c>
    </row>
    <row r="584">
      <c r="A584" t="inlineStr">
        <is>
          <t>35471795</t>
        </is>
      </c>
      <c r="B584" t="inlineStr">
        <is>
          <t>PRODUCTO 384F79</t>
        </is>
      </c>
      <c r="C584" t="inlineStr">
        <is>
          <t>San Miguel</t>
        </is>
      </c>
      <c r="D584" t="n">
        <v>0</v>
      </c>
      <c r="E584" t="n">
        <v>0</v>
      </c>
      <c r="F584" t="n">
        <v>0</v>
      </c>
      <c r="G584" t="n">
        <v>0</v>
      </c>
      <c r="H584">
        <f>AVERAGE(D13289:G13289)</f>
        <v/>
      </c>
    </row>
    <row r="585">
      <c r="A585" t="inlineStr">
        <is>
          <t>35471795</t>
        </is>
      </c>
      <c r="B585" t="inlineStr">
        <is>
          <t>PRODUCTO 384F79</t>
        </is>
      </c>
      <c r="C585" t="inlineStr">
        <is>
          <t>Miraflores</t>
        </is>
      </c>
      <c r="D585" t="n">
        <v>0</v>
      </c>
      <c r="E585" t="n">
        <v>0</v>
      </c>
      <c r="F585" t="n">
        <v>0</v>
      </c>
      <c r="G585" t="n">
        <v>0</v>
      </c>
      <c r="H585">
        <f>AVERAGE(D13290:G13290)</f>
        <v/>
      </c>
    </row>
    <row r="586">
      <c r="A586" t="inlineStr">
        <is>
          <t>35471795</t>
        </is>
      </c>
      <c r="B586" t="inlineStr">
        <is>
          <t>PRODUCTO 384F79</t>
        </is>
      </c>
      <c r="C586" t="inlineStr">
        <is>
          <t>San Borja</t>
        </is>
      </c>
      <c r="D586" t="n">
        <v>1</v>
      </c>
      <c r="E586" t="n">
        <v>0</v>
      </c>
      <c r="F586" t="n">
        <v>0</v>
      </c>
      <c r="G586" t="n">
        <v>0</v>
      </c>
      <c r="H586">
        <f>AVERAGE(D13292:G13292)</f>
        <v/>
      </c>
    </row>
    <row r="587">
      <c r="A587" t="inlineStr">
        <is>
          <t>35471810</t>
        </is>
      </c>
      <c r="B587" t="inlineStr">
        <is>
          <t>PRODUCTO A28C89</t>
        </is>
      </c>
      <c r="C587" t="inlineStr">
        <is>
          <t>Jockey Plaza</t>
        </is>
      </c>
      <c r="D587" t="n">
        <v>0</v>
      </c>
      <c r="E587" t="n">
        <v>0</v>
      </c>
      <c r="F587" t="n">
        <v>0</v>
      </c>
      <c r="G587" t="n">
        <v>0</v>
      </c>
      <c r="H587">
        <f>AVERAGE(D13293:G13293)</f>
        <v/>
      </c>
    </row>
    <row r="588">
      <c r="A588" t="inlineStr">
        <is>
          <t>35471810</t>
        </is>
      </c>
      <c r="B588" t="inlineStr">
        <is>
          <t>PRODUCTO A28C89</t>
        </is>
      </c>
      <c r="C588" t="inlineStr">
        <is>
          <t>San Miguel</t>
        </is>
      </c>
      <c r="D588" t="n">
        <v>0</v>
      </c>
      <c r="E588" t="n">
        <v>0</v>
      </c>
      <c r="F588" t="n">
        <v>0</v>
      </c>
      <c r="G588" t="n">
        <v>0</v>
      </c>
      <c r="H588">
        <f>AVERAGE(D13294:G13294)</f>
        <v/>
      </c>
    </row>
    <row r="589">
      <c r="A589" t="inlineStr">
        <is>
          <t>35471810</t>
        </is>
      </c>
      <c r="B589" t="inlineStr">
        <is>
          <t>PRODUCTO A28C89</t>
        </is>
      </c>
      <c r="C589" t="inlineStr">
        <is>
          <t>Miraflores</t>
        </is>
      </c>
      <c r="D589" t="n">
        <v>0</v>
      </c>
      <c r="E589" t="n">
        <v>0</v>
      </c>
      <c r="F589" t="n">
        <v>0</v>
      </c>
      <c r="G589" t="n">
        <v>0</v>
      </c>
      <c r="H589">
        <f>AVERAGE(D13295:G13295)</f>
        <v/>
      </c>
    </row>
    <row r="590">
      <c r="A590" t="inlineStr">
        <is>
          <t>35471810</t>
        </is>
      </c>
      <c r="B590" t="inlineStr">
        <is>
          <t>PRODUCTO A28C89</t>
        </is>
      </c>
      <c r="C590" t="inlineStr">
        <is>
          <t>Salaverry</t>
        </is>
      </c>
      <c r="D590" t="n">
        <v>0</v>
      </c>
      <c r="E590" t="n">
        <v>0</v>
      </c>
      <c r="F590" t="n">
        <v>0</v>
      </c>
      <c r="G590" t="n">
        <v>0</v>
      </c>
      <c r="H590">
        <f>AVERAGE(D13299:G13299)</f>
        <v/>
      </c>
    </row>
    <row r="591">
      <c r="A591" t="inlineStr">
        <is>
          <t>35471810</t>
        </is>
      </c>
      <c r="B591" t="inlineStr">
        <is>
          <t>PRODUCTO A28C89</t>
        </is>
      </c>
      <c r="C591" t="inlineStr">
        <is>
          <t>San Borja</t>
        </is>
      </c>
      <c r="D591" t="n">
        <v>2</v>
      </c>
      <c r="E591" t="n">
        <v>2</v>
      </c>
      <c r="F591" t="n">
        <v>1</v>
      </c>
      <c r="G591" t="n">
        <v>1</v>
      </c>
      <c r="H591">
        <f>AVERAGE(D13300:G13300)</f>
        <v/>
      </c>
    </row>
    <row r="592">
      <c r="A592" t="inlineStr">
        <is>
          <t>35471810</t>
        </is>
      </c>
      <c r="B592" t="inlineStr">
        <is>
          <t>PRODUCTO A28C89</t>
        </is>
      </c>
      <c r="C592" t="inlineStr">
        <is>
          <t>Piura</t>
        </is>
      </c>
      <c r="D592" t="n">
        <v>0</v>
      </c>
      <c r="E592" t="n">
        <v>0</v>
      </c>
      <c r="F592" t="n">
        <v>0</v>
      </c>
      <c r="G592" t="n">
        <v>0</v>
      </c>
      <c r="H592">
        <f>AVERAGE(D13302:G13302)</f>
        <v/>
      </c>
    </row>
    <row r="593">
      <c r="A593" t="inlineStr">
        <is>
          <t>35856343</t>
        </is>
      </c>
      <c r="B593" t="inlineStr">
        <is>
          <t>PRODUCTO 5507EC</t>
        </is>
      </c>
      <c r="C593" t="inlineStr">
        <is>
          <t>Salaverry</t>
        </is>
      </c>
      <c r="D593" t="n">
        <v>0</v>
      </c>
      <c r="E593" t="n">
        <v>1</v>
      </c>
      <c r="F593" t="n">
        <v>0</v>
      </c>
      <c r="G593" t="n">
        <v>1</v>
      </c>
      <c r="H593">
        <f>AVERAGE(D13366:G13366)</f>
        <v/>
      </c>
    </row>
    <row r="594">
      <c r="A594" t="inlineStr">
        <is>
          <t>36160394</t>
        </is>
      </c>
      <c r="B594" t="inlineStr">
        <is>
          <t>PRODUCTO BF8967</t>
        </is>
      </c>
      <c r="C594" t="inlineStr">
        <is>
          <t>Jockey Plaza</t>
        </is>
      </c>
      <c r="D594" t="n">
        <v>4</v>
      </c>
      <c r="E594" t="n">
        <v>2</v>
      </c>
      <c r="F594" t="n">
        <v>2</v>
      </c>
      <c r="G594" t="n">
        <v>2</v>
      </c>
      <c r="H594">
        <f>AVERAGE(D13484:G13484)</f>
        <v/>
      </c>
    </row>
    <row r="595">
      <c r="A595" t="inlineStr">
        <is>
          <t>36160394</t>
        </is>
      </c>
      <c r="B595" t="inlineStr">
        <is>
          <t>PRODUCTO BF8967</t>
        </is>
      </c>
      <c r="C595" t="inlineStr">
        <is>
          <t>San Miguel</t>
        </is>
      </c>
      <c r="D595" t="n">
        <v>1</v>
      </c>
      <c r="E595" t="n">
        <v>0</v>
      </c>
      <c r="F595" t="n">
        <v>1</v>
      </c>
      <c r="G595" t="n">
        <v>1</v>
      </c>
      <c r="H595">
        <f>AVERAGE(D13485:G13485)</f>
        <v/>
      </c>
    </row>
    <row r="596">
      <c r="A596" t="inlineStr">
        <is>
          <t>36160394</t>
        </is>
      </c>
      <c r="B596" t="inlineStr">
        <is>
          <t>PRODUCTO BF8967</t>
        </is>
      </c>
      <c r="C596" t="inlineStr">
        <is>
          <t>Miraflores</t>
        </is>
      </c>
      <c r="D596" t="n">
        <v>0</v>
      </c>
      <c r="E596" t="n">
        <v>0</v>
      </c>
      <c r="F596" t="n">
        <v>0</v>
      </c>
      <c r="G596" t="n">
        <v>0</v>
      </c>
      <c r="H596">
        <f>AVERAGE(D13486:G13486)</f>
        <v/>
      </c>
    </row>
    <row r="597">
      <c r="A597" t="inlineStr">
        <is>
          <t>36160394</t>
        </is>
      </c>
      <c r="B597" t="inlineStr">
        <is>
          <t>PRODUCTO BF8967</t>
        </is>
      </c>
      <c r="C597" t="inlineStr">
        <is>
          <t>Salaverry</t>
        </is>
      </c>
      <c r="D597" t="n">
        <v>0</v>
      </c>
      <c r="E597" t="n">
        <v>0</v>
      </c>
      <c r="F597" t="n">
        <v>0</v>
      </c>
      <c r="G597" t="n">
        <v>0</v>
      </c>
      <c r="H597">
        <f>AVERAGE(D13494:G13494)</f>
        <v/>
      </c>
    </row>
    <row r="598">
      <c r="A598" t="inlineStr">
        <is>
          <t>36160394</t>
        </is>
      </c>
      <c r="B598" t="inlineStr">
        <is>
          <t>PRODUCTO BF8967</t>
        </is>
      </c>
      <c r="C598" t="inlineStr">
        <is>
          <t>San Borja</t>
        </is>
      </c>
      <c r="D598" t="n">
        <v>2</v>
      </c>
      <c r="E598" t="n">
        <v>1</v>
      </c>
      <c r="F598" t="n">
        <v>1</v>
      </c>
      <c r="G598" t="n">
        <v>1</v>
      </c>
      <c r="H598">
        <f>AVERAGE(D13495:G13495)</f>
        <v/>
      </c>
    </row>
    <row r="599">
      <c r="A599" t="inlineStr">
        <is>
          <t>36160394</t>
        </is>
      </c>
      <c r="B599" t="inlineStr">
        <is>
          <t>PRODUCTO BF8967</t>
        </is>
      </c>
      <c r="C599" t="inlineStr">
        <is>
          <t>Piura</t>
        </is>
      </c>
      <c r="D599" t="n">
        <v>2</v>
      </c>
      <c r="E599" t="n">
        <v>1</v>
      </c>
      <c r="F599" t="n">
        <v>1</v>
      </c>
      <c r="G599" t="n">
        <v>1</v>
      </c>
      <c r="H599">
        <f>AVERAGE(D13498:G13498)</f>
        <v/>
      </c>
    </row>
    <row r="600">
      <c r="A600" t="inlineStr">
        <is>
          <t>36165361</t>
        </is>
      </c>
      <c r="B600" t="inlineStr">
        <is>
          <t>PRODUCTO 2DEC5E</t>
        </is>
      </c>
      <c r="C600" t="inlineStr">
        <is>
          <t>San Miguel</t>
        </is>
      </c>
      <c r="D600" t="n">
        <v>0</v>
      </c>
      <c r="E600" t="n">
        <v>0</v>
      </c>
      <c r="F600" t="n">
        <v>0</v>
      </c>
      <c r="G600" t="n">
        <v>0</v>
      </c>
      <c r="H600">
        <f>AVERAGE(D13568:G13568)</f>
        <v/>
      </c>
    </row>
    <row r="601">
      <c r="A601" t="inlineStr">
        <is>
          <t>36165361</t>
        </is>
      </c>
      <c r="B601" t="inlineStr">
        <is>
          <t>PRODUCTO 2DEC5E</t>
        </is>
      </c>
      <c r="C601" t="inlineStr">
        <is>
          <t>Miraflores</t>
        </is>
      </c>
      <c r="D601" t="n">
        <v>0</v>
      </c>
      <c r="E601" t="n">
        <v>0</v>
      </c>
      <c r="F601" t="n">
        <v>0</v>
      </c>
      <c r="G601" t="n">
        <v>0</v>
      </c>
      <c r="H601">
        <f>AVERAGE(D13569:G13569)</f>
        <v/>
      </c>
    </row>
    <row r="602">
      <c r="A602" t="inlineStr">
        <is>
          <t>36165361</t>
        </is>
      </c>
      <c r="B602" t="inlineStr">
        <is>
          <t>PRODUCTO 2DEC5E</t>
        </is>
      </c>
      <c r="C602" t="inlineStr">
        <is>
          <t>San Borja</t>
        </is>
      </c>
      <c r="D602" t="n">
        <v>1</v>
      </c>
      <c r="E602" t="n">
        <v>0</v>
      </c>
      <c r="F602" t="n">
        <v>3</v>
      </c>
      <c r="G602" t="n">
        <v>2</v>
      </c>
      <c r="H602">
        <f>AVERAGE(D13576:G13576)</f>
        <v/>
      </c>
    </row>
    <row r="603">
      <c r="A603" t="inlineStr">
        <is>
          <t>36165361</t>
        </is>
      </c>
      <c r="B603" t="inlineStr">
        <is>
          <t>PRODUCTO 2DEC5E</t>
        </is>
      </c>
      <c r="C603" t="inlineStr">
        <is>
          <t>Piura</t>
        </is>
      </c>
      <c r="D603" t="n">
        <v>0</v>
      </c>
      <c r="E603" t="n">
        <v>0</v>
      </c>
      <c r="F603" t="n">
        <v>0</v>
      </c>
      <c r="G603" t="n">
        <v>0</v>
      </c>
      <c r="H603">
        <f>AVERAGE(D13579:G13579)</f>
        <v/>
      </c>
    </row>
    <row r="604">
      <c r="A604" t="inlineStr">
        <is>
          <t>36179757</t>
        </is>
      </c>
      <c r="B604" t="inlineStr">
        <is>
          <t>PRODUCTO 146637</t>
        </is>
      </c>
      <c r="C604" t="inlineStr">
        <is>
          <t>Jockey Plaza</t>
        </is>
      </c>
      <c r="D604" t="n">
        <v>0</v>
      </c>
      <c r="E604" t="n">
        <v>0</v>
      </c>
      <c r="F604" t="n">
        <v>0</v>
      </c>
      <c r="G604" t="n">
        <v>0</v>
      </c>
      <c r="H604">
        <f>AVERAGE(D13691:G13691)</f>
        <v/>
      </c>
    </row>
    <row r="605">
      <c r="A605" t="inlineStr">
        <is>
          <t>36179757</t>
        </is>
      </c>
      <c r="B605" t="inlineStr">
        <is>
          <t>PRODUCTO 146637</t>
        </is>
      </c>
      <c r="C605" t="inlineStr">
        <is>
          <t>San Miguel</t>
        </is>
      </c>
      <c r="D605" t="n">
        <v>0</v>
      </c>
      <c r="E605" t="n">
        <v>0</v>
      </c>
      <c r="F605" t="n">
        <v>0</v>
      </c>
      <c r="G605" t="n">
        <v>0</v>
      </c>
      <c r="H605">
        <f>AVERAGE(D13692:G13692)</f>
        <v/>
      </c>
    </row>
    <row r="606">
      <c r="A606" t="inlineStr">
        <is>
          <t>36179757</t>
        </is>
      </c>
      <c r="B606" t="inlineStr">
        <is>
          <t>PRODUCTO 146637</t>
        </is>
      </c>
      <c r="C606" t="inlineStr">
        <is>
          <t>Miraflores</t>
        </is>
      </c>
      <c r="D606" t="n">
        <v>1</v>
      </c>
      <c r="E606" t="n">
        <v>1</v>
      </c>
      <c r="F606" t="n">
        <v>1</v>
      </c>
      <c r="G606" t="n">
        <v>0</v>
      </c>
      <c r="H606">
        <f>AVERAGE(D13693:G13693)</f>
        <v/>
      </c>
    </row>
    <row r="607">
      <c r="A607" t="inlineStr">
        <is>
          <t>36179757</t>
        </is>
      </c>
      <c r="B607" t="inlineStr">
        <is>
          <t>PRODUCTO 146637</t>
        </is>
      </c>
      <c r="C607" t="inlineStr">
        <is>
          <t>Salaverry</t>
        </is>
      </c>
      <c r="D607" t="n">
        <v>0</v>
      </c>
      <c r="E607" t="n">
        <v>0</v>
      </c>
      <c r="F607" t="n">
        <v>0</v>
      </c>
      <c r="G607" t="n">
        <v>0</v>
      </c>
      <c r="H607">
        <f>AVERAGE(D13697:G13697)</f>
        <v/>
      </c>
    </row>
    <row r="608">
      <c r="A608" t="inlineStr">
        <is>
          <t>36179757</t>
        </is>
      </c>
      <c r="B608" t="inlineStr">
        <is>
          <t>PRODUCTO 146637</t>
        </is>
      </c>
      <c r="C608" t="inlineStr">
        <is>
          <t>San Borja</t>
        </is>
      </c>
      <c r="D608" t="n">
        <v>0</v>
      </c>
      <c r="E608" t="n">
        <v>0</v>
      </c>
      <c r="F608" t="n">
        <v>0</v>
      </c>
      <c r="G608" t="n">
        <v>0</v>
      </c>
      <c r="H608">
        <f>AVERAGE(D13698:G13698)</f>
        <v/>
      </c>
    </row>
    <row r="609">
      <c r="A609" t="inlineStr">
        <is>
          <t>36179757</t>
        </is>
      </c>
      <c r="B609" t="inlineStr">
        <is>
          <t>PRODUCTO 146637</t>
        </is>
      </c>
      <c r="C609" t="inlineStr">
        <is>
          <t>Piura</t>
        </is>
      </c>
      <c r="D609" t="n">
        <v>0</v>
      </c>
      <c r="E609" t="n">
        <v>0</v>
      </c>
      <c r="F609" t="n">
        <v>0</v>
      </c>
      <c r="G609" t="n">
        <v>0</v>
      </c>
      <c r="H609">
        <f>AVERAGE(D13700:G13700)</f>
        <v/>
      </c>
    </row>
    <row r="610">
      <c r="A610" t="inlineStr">
        <is>
          <t>36350454</t>
        </is>
      </c>
      <c r="B610" t="inlineStr">
        <is>
          <t>PRODUCTO 9E4125</t>
        </is>
      </c>
      <c r="C610" t="inlineStr">
        <is>
          <t>Jockey Plaza</t>
        </is>
      </c>
      <c r="D610" t="n">
        <v>0</v>
      </c>
      <c r="E610" t="n">
        <v>0</v>
      </c>
      <c r="F610" t="n">
        <v>0</v>
      </c>
      <c r="G610" t="n">
        <v>0</v>
      </c>
      <c r="H610">
        <f>AVERAGE(D13859:G13859)</f>
        <v/>
      </c>
    </row>
    <row r="611">
      <c r="A611" t="inlineStr">
        <is>
          <t>36350454</t>
        </is>
      </c>
      <c r="B611" t="inlineStr">
        <is>
          <t>PRODUCTO 9E4125</t>
        </is>
      </c>
      <c r="C611" t="inlineStr">
        <is>
          <t>Miraflores</t>
        </is>
      </c>
      <c r="D611" t="n">
        <v>0</v>
      </c>
      <c r="E611" t="n">
        <v>0</v>
      </c>
      <c r="F611" t="n">
        <v>0</v>
      </c>
      <c r="G611" t="n">
        <v>0</v>
      </c>
      <c r="H611">
        <f>AVERAGE(D13860:G13860)</f>
        <v/>
      </c>
    </row>
    <row r="612">
      <c r="A612" t="inlineStr">
        <is>
          <t>36350454</t>
        </is>
      </c>
      <c r="B612" t="inlineStr">
        <is>
          <t>PRODUCTO 9E4125</t>
        </is>
      </c>
      <c r="C612" t="inlineStr">
        <is>
          <t>Salaverry</t>
        </is>
      </c>
      <c r="D612" t="n">
        <v>0</v>
      </c>
      <c r="E612" t="n">
        <v>0</v>
      </c>
      <c r="F612" t="n">
        <v>0</v>
      </c>
      <c r="G612" t="n">
        <v>0</v>
      </c>
      <c r="H612">
        <f>AVERAGE(D13863:G13863)</f>
        <v/>
      </c>
    </row>
    <row r="613">
      <c r="A613" t="inlineStr">
        <is>
          <t>36350454</t>
        </is>
      </c>
      <c r="B613" t="inlineStr">
        <is>
          <t>PRODUCTO 9E4125</t>
        </is>
      </c>
      <c r="C613" t="inlineStr">
        <is>
          <t>Piura</t>
        </is>
      </c>
      <c r="D613" t="n">
        <v>0</v>
      </c>
      <c r="E613" t="n">
        <v>0</v>
      </c>
      <c r="F613" t="n">
        <v>0</v>
      </c>
      <c r="G613" t="n">
        <v>0</v>
      </c>
      <c r="H613">
        <f>AVERAGE(D13865:G13865)</f>
        <v/>
      </c>
    </row>
    <row r="614">
      <c r="A614" t="inlineStr">
        <is>
          <t>36350497</t>
        </is>
      </c>
      <c r="B614" t="inlineStr">
        <is>
          <t>PRODUCTO A6A2A1</t>
        </is>
      </c>
      <c r="C614" t="inlineStr">
        <is>
          <t>Miraflores</t>
        </is>
      </c>
      <c r="D614" t="n">
        <v>0</v>
      </c>
      <c r="E614" t="n">
        <v>0</v>
      </c>
      <c r="F614" t="n">
        <v>0</v>
      </c>
      <c r="G614" t="n">
        <v>0</v>
      </c>
      <c r="H614">
        <f>AVERAGE(D13869:G13869)</f>
        <v/>
      </c>
    </row>
    <row r="615">
      <c r="A615" t="inlineStr">
        <is>
          <t>36350497</t>
        </is>
      </c>
      <c r="B615" t="inlineStr">
        <is>
          <t>PRODUCTO A6A2A1</t>
        </is>
      </c>
      <c r="C615" t="inlineStr">
        <is>
          <t>Salaverry</t>
        </is>
      </c>
      <c r="D615" t="n">
        <v>0</v>
      </c>
      <c r="E615" t="n">
        <v>0</v>
      </c>
      <c r="F615" t="n">
        <v>0</v>
      </c>
      <c r="G615" t="n">
        <v>0</v>
      </c>
      <c r="H615">
        <f>AVERAGE(D13870:G13870)</f>
        <v/>
      </c>
    </row>
    <row r="616">
      <c r="A616" t="inlineStr">
        <is>
          <t>36350586</t>
        </is>
      </c>
      <c r="B616" t="inlineStr">
        <is>
          <t>PRODUCTO C9FE82</t>
        </is>
      </c>
      <c r="C616" t="inlineStr">
        <is>
          <t>Jockey Plaza</t>
        </is>
      </c>
      <c r="D616" t="n">
        <v>0</v>
      </c>
      <c r="E616" t="n">
        <v>2</v>
      </c>
      <c r="F616" t="n">
        <v>2</v>
      </c>
      <c r="G616" t="n">
        <v>0</v>
      </c>
      <c r="H616">
        <f>AVERAGE(D13924:G13924)</f>
        <v/>
      </c>
    </row>
    <row r="617">
      <c r="A617" t="inlineStr">
        <is>
          <t>36350586</t>
        </is>
      </c>
      <c r="B617" t="inlineStr">
        <is>
          <t>PRODUCTO C9FE82</t>
        </is>
      </c>
      <c r="C617" t="inlineStr">
        <is>
          <t>Miraflores</t>
        </is>
      </c>
      <c r="D617" t="n">
        <v>0</v>
      </c>
      <c r="E617" t="n">
        <v>2</v>
      </c>
      <c r="F617" t="n">
        <v>2</v>
      </c>
      <c r="G617" t="n">
        <v>0</v>
      </c>
      <c r="H617">
        <f>AVERAGE(D13925:G13925)</f>
        <v/>
      </c>
    </row>
    <row r="618">
      <c r="A618" t="inlineStr">
        <is>
          <t>36350586</t>
        </is>
      </c>
      <c r="B618" t="inlineStr">
        <is>
          <t>PRODUCTO C9FE82</t>
        </is>
      </c>
      <c r="C618" t="inlineStr">
        <is>
          <t>Salaverry</t>
        </is>
      </c>
      <c r="D618" t="n">
        <v>0</v>
      </c>
      <c r="E618" t="n">
        <v>2</v>
      </c>
      <c r="F618" t="n">
        <v>2</v>
      </c>
      <c r="G618" t="n">
        <v>0</v>
      </c>
      <c r="H618">
        <f>AVERAGE(D13927:G13927)</f>
        <v/>
      </c>
    </row>
    <row r="619">
      <c r="A619" t="inlineStr">
        <is>
          <t>36350596</t>
        </is>
      </c>
      <c r="B619" t="inlineStr">
        <is>
          <t>PRODUCTO 65BC9B</t>
        </is>
      </c>
      <c r="C619" t="inlineStr">
        <is>
          <t>Jockey Plaza</t>
        </is>
      </c>
      <c r="D619" t="n">
        <v>2</v>
      </c>
      <c r="E619" t="n">
        <v>4</v>
      </c>
      <c r="F619" t="n">
        <v>2</v>
      </c>
      <c r="G619" t="n">
        <v>2</v>
      </c>
      <c r="H619">
        <f>AVERAGE(D13938:G13938)</f>
        <v/>
      </c>
    </row>
    <row r="620">
      <c r="A620" t="inlineStr">
        <is>
          <t>36350596</t>
        </is>
      </c>
      <c r="B620" t="inlineStr">
        <is>
          <t>PRODUCTO 65BC9B</t>
        </is>
      </c>
      <c r="C620" t="inlineStr">
        <is>
          <t>Miraflores</t>
        </is>
      </c>
      <c r="D620" t="n">
        <v>1</v>
      </c>
      <c r="E620" t="n">
        <v>2</v>
      </c>
      <c r="F620" t="n">
        <v>1</v>
      </c>
      <c r="G620" t="n">
        <v>1</v>
      </c>
      <c r="H620">
        <f>AVERAGE(D13939:G13939)</f>
        <v/>
      </c>
    </row>
    <row r="621">
      <c r="A621" t="inlineStr">
        <is>
          <t>36350596</t>
        </is>
      </c>
      <c r="B621" t="inlineStr">
        <is>
          <t>PRODUCTO 65BC9B</t>
        </is>
      </c>
      <c r="C621" t="inlineStr">
        <is>
          <t>Salaverry</t>
        </is>
      </c>
      <c r="D621" t="n">
        <v>0</v>
      </c>
      <c r="E621" t="n">
        <v>0</v>
      </c>
      <c r="F621" t="n">
        <v>0</v>
      </c>
      <c r="G621" t="n">
        <v>0</v>
      </c>
      <c r="H621">
        <f>AVERAGE(D13943:G13943)</f>
        <v/>
      </c>
    </row>
    <row r="622">
      <c r="A622" t="inlineStr">
        <is>
          <t>36350596</t>
        </is>
      </c>
      <c r="B622" t="inlineStr">
        <is>
          <t>PRODUCTO 65BC9B</t>
        </is>
      </c>
      <c r="C622" t="inlineStr">
        <is>
          <t>San Borja</t>
        </is>
      </c>
      <c r="D622" t="n">
        <v>0</v>
      </c>
      <c r="E622" t="n">
        <v>0</v>
      </c>
      <c r="F622" t="n">
        <v>0</v>
      </c>
      <c r="G622" t="n">
        <v>0</v>
      </c>
      <c r="H622">
        <f>AVERAGE(D13944:G13944)</f>
        <v/>
      </c>
    </row>
    <row r="623">
      <c r="A623" t="inlineStr">
        <is>
          <t>36350596</t>
        </is>
      </c>
      <c r="B623" t="inlineStr">
        <is>
          <t>PRODUCTO 65BC9B</t>
        </is>
      </c>
      <c r="C623" t="inlineStr">
        <is>
          <t>Piura</t>
        </is>
      </c>
      <c r="D623" t="n">
        <v>0</v>
      </c>
      <c r="E623" t="n">
        <v>0</v>
      </c>
      <c r="F623" t="n">
        <v>0</v>
      </c>
      <c r="G623" t="n">
        <v>0</v>
      </c>
      <c r="H623">
        <f>AVERAGE(D13947:G13947)</f>
        <v/>
      </c>
    </row>
    <row r="624">
      <c r="A624" t="inlineStr">
        <is>
          <t>36440789</t>
        </is>
      </c>
      <c r="B624" t="inlineStr">
        <is>
          <t>PRODUCTO 0ADA6B</t>
        </is>
      </c>
      <c r="C624" t="inlineStr">
        <is>
          <t>Jockey Plaza</t>
        </is>
      </c>
      <c r="D624" t="n">
        <v>5</v>
      </c>
      <c r="E624" t="n">
        <v>1</v>
      </c>
      <c r="F624" t="n">
        <v>6</v>
      </c>
      <c r="G624" t="n">
        <v>6</v>
      </c>
      <c r="H624">
        <f>AVERAGE(D14088:G14088)</f>
        <v/>
      </c>
    </row>
    <row r="625">
      <c r="A625" t="inlineStr">
        <is>
          <t>36440789</t>
        </is>
      </c>
      <c r="B625" t="inlineStr">
        <is>
          <t>PRODUCTO 0ADA6B</t>
        </is>
      </c>
      <c r="C625" t="inlineStr">
        <is>
          <t>San Miguel</t>
        </is>
      </c>
      <c r="D625" t="n">
        <v>1</v>
      </c>
      <c r="E625" t="n">
        <v>0</v>
      </c>
      <c r="F625" t="n">
        <v>1</v>
      </c>
      <c r="G625" t="n">
        <v>1</v>
      </c>
      <c r="H625">
        <f>AVERAGE(D14089:G14089)</f>
        <v/>
      </c>
    </row>
    <row r="626">
      <c r="A626" t="inlineStr">
        <is>
          <t>36440789</t>
        </is>
      </c>
      <c r="B626" t="inlineStr">
        <is>
          <t>PRODUCTO 0ADA6B</t>
        </is>
      </c>
      <c r="C626" t="inlineStr">
        <is>
          <t>Miraflores</t>
        </is>
      </c>
      <c r="D626" t="n">
        <v>0</v>
      </c>
      <c r="E626" t="n">
        <v>0</v>
      </c>
      <c r="F626" t="n">
        <v>0</v>
      </c>
      <c r="G626" t="n">
        <v>0</v>
      </c>
      <c r="H626">
        <f>AVERAGE(D14090:G14090)</f>
        <v/>
      </c>
    </row>
    <row r="627">
      <c r="A627" t="inlineStr">
        <is>
          <t>36440789</t>
        </is>
      </c>
      <c r="B627" t="inlineStr">
        <is>
          <t>PRODUCTO 0ADA6B</t>
        </is>
      </c>
      <c r="C627" t="inlineStr">
        <is>
          <t>Salaverry</t>
        </is>
      </c>
      <c r="D627" t="n">
        <v>0</v>
      </c>
      <c r="E627" t="n">
        <v>0</v>
      </c>
      <c r="F627" t="n">
        <v>0</v>
      </c>
      <c r="G627" t="n">
        <v>0</v>
      </c>
      <c r="H627">
        <f>AVERAGE(D14092:G14092)</f>
        <v/>
      </c>
    </row>
    <row r="628">
      <c r="A628" t="inlineStr">
        <is>
          <t>36440789</t>
        </is>
      </c>
      <c r="B628" t="inlineStr">
        <is>
          <t>PRODUCTO 0ADA6B</t>
        </is>
      </c>
      <c r="C628" t="inlineStr">
        <is>
          <t>San Borja</t>
        </is>
      </c>
      <c r="D628" t="n">
        <v>2</v>
      </c>
      <c r="E628" t="n">
        <v>0</v>
      </c>
      <c r="F628" t="n">
        <v>2</v>
      </c>
      <c r="G628" t="n">
        <v>2</v>
      </c>
      <c r="H628">
        <f>AVERAGE(D14093:G14093)</f>
        <v/>
      </c>
    </row>
    <row r="629">
      <c r="A629" t="inlineStr">
        <is>
          <t>36440789</t>
        </is>
      </c>
      <c r="B629" t="inlineStr">
        <is>
          <t>PRODUCTO 0ADA6B</t>
        </is>
      </c>
      <c r="C629" t="inlineStr">
        <is>
          <t>Piura</t>
        </is>
      </c>
      <c r="D629" t="n">
        <v>0</v>
      </c>
      <c r="E629" t="n">
        <v>0</v>
      </c>
      <c r="F629" t="n">
        <v>0</v>
      </c>
      <c r="G629" t="n">
        <v>0</v>
      </c>
      <c r="H629">
        <f>AVERAGE(D14095:G14095)</f>
        <v/>
      </c>
    </row>
    <row r="630">
      <c r="A630" t="inlineStr">
        <is>
          <t>36440873</t>
        </is>
      </c>
      <c r="B630" t="inlineStr">
        <is>
          <t>PRODUCTO 7FB133</t>
        </is>
      </c>
      <c r="C630" t="inlineStr">
        <is>
          <t>Jockey Plaza</t>
        </is>
      </c>
      <c r="D630" t="n">
        <v>0</v>
      </c>
      <c r="E630" t="n">
        <v>0</v>
      </c>
      <c r="F630" t="n">
        <v>0</v>
      </c>
      <c r="G630" t="n">
        <v>0</v>
      </c>
      <c r="H630">
        <f>AVERAGE(D14160:G14160)</f>
        <v/>
      </c>
    </row>
    <row r="631">
      <c r="A631" t="inlineStr">
        <is>
          <t>36440873</t>
        </is>
      </c>
      <c r="B631" t="inlineStr">
        <is>
          <t>PRODUCTO 7FB133</t>
        </is>
      </c>
      <c r="C631" t="inlineStr">
        <is>
          <t>San Miguel</t>
        </is>
      </c>
      <c r="D631" t="n">
        <v>0</v>
      </c>
      <c r="E631" t="n">
        <v>0</v>
      </c>
      <c r="F631" t="n">
        <v>0</v>
      </c>
      <c r="G631" t="n">
        <v>0</v>
      </c>
      <c r="H631">
        <f>AVERAGE(D14161:G14161)</f>
        <v/>
      </c>
    </row>
    <row r="632">
      <c r="A632" t="inlineStr">
        <is>
          <t>36440873</t>
        </is>
      </c>
      <c r="B632" t="inlineStr">
        <is>
          <t>PRODUCTO 7FB133</t>
        </is>
      </c>
      <c r="C632" t="inlineStr">
        <is>
          <t>Miraflores</t>
        </is>
      </c>
      <c r="D632" t="n">
        <v>0</v>
      </c>
      <c r="E632" t="n">
        <v>0</v>
      </c>
      <c r="F632" t="n">
        <v>0</v>
      </c>
      <c r="G632" t="n">
        <v>0</v>
      </c>
      <c r="H632">
        <f>AVERAGE(D14162:G14162)</f>
        <v/>
      </c>
    </row>
    <row r="633">
      <c r="A633" t="inlineStr">
        <is>
          <t>36440873</t>
        </is>
      </c>
      <c r="B633" t="inlineStr">
        <is>
          <t>PRODUCTO 7FB133</t>
        </is>
      </c>
      <c r="C633" t="inlineStr">
        <is>
          <t>Salaverry</t>
        </is>
      </c>
      <c r="D633" t="n">
        <v>0</v>
      </c>
      <c r="E633" t="n">
        <v>0</v>
      </c>
      <c r="F633" t="n">
        <v>0</v>
      </c>
      <c r="G633" t="n">
        <v>0</v>
      </c>
      <c r="H633">
        <f>AVERAGE(D14165:G14165)</f>
        <v/>
      </c>
    </row>
    <row r="634">
      <c r="A634" t="inlineStr">
        <is>
          <t>36440873</t>
        </is>
      </c>
      <c r="B634" t="inlineStr">
        <is>
          <t>PRODUCTO 7FB133</t>
        </is>
      </c>
      <c r="C634" t="inlineStr">
        <is>
          <t>San Borja</t>
        </is>
      </c>
      <c r="D634" t="n">
        <v>0</v>
      </c>
      <c r="E634" t="n">
        <v>0</v>
      </c>
      <c r="F634" t="n">
        <v>0</v>
      </c>
      <c r="G634" t="n">
        <v>0</v>
      </c>
      <c r="H634">
        <f>AVERAGE(D14166:G14166)</f>
        <v/>
      </c>
    </row>
    <row r="635">
      <c r="A635" t="inlineStr">
        <is>
          <t>36454784</t>
        </is>
      </c>
      <c r="B635" t="inlineStr">
        <is>
          <t>PRODUCTO A90A63</t>
        </is>
      </c>
      <c r="C635" t="inlineStr">
        <is>
          <t>Jockey Plaza</t>
        </is>
      </c>
      <c r="D635" t="n">
        <v>0</v>
      </c>
      <c r="E635" t="n">
        <v>0</v>
      </c>
      <c r="F635" t="n">
        <v>0</v>
      </c>
      <c r="G635" t="n">
        <v>0</v>
      </c>
      <c r="H635">
        <f>AVERAGE(D14258:G14258)</f>
        <v/>
      </c>
    </row>
    <row r="636">
      <c r="A636" t="inlineStr">
        <is>
          <t>36454784</t>
        </is>
      </c>
      <c r="B636" t="inlineStr">
        <is>
          <t>PRODUCTO A90A63</t>
        </is>
      </c>
      <c r="C636" t="inlineStr">
        <is>
          <t>San Miguel</t>
        </is>
      </c>
      <c r="D636" t="n">
        <v>0</v>
      </c>
      <c r="E636" t="n">
        <v>0</v>
      </c>
      <c r="F636" t="n">
        <v>0</v>
      </c>
      <c r="G636" t="n">
        <v>0</v>
      </c>
      <c r="H636">
        <f>AVERAGE(D14259:G14259)</f>
        <v/>
      </c>
    </row>
    <row r="637">
      <c r="A637" t="inlineStr">
        <is>
          <t>36454784</t>
        </is>
      </c>
      <c r="B637" t="inlineStr">
        <is>
          <t>PRODUCTO A90A63</t>
        </is>
      </c>
      <c r="C637" t="inlineStr">
        <is>
          <t>Miraflores</t>
        </is>
      </c>
      <c r="D637" t="n">
        <v>0</v>
      </c>
      <c r="E637" t="n">
        <v>0</v>
      </c>
      <c r="F637" t="n">
        <v>0</v>
      </c>
      <c r="G637" t="n">
        <v>0</v>
      </c>
      <c r="H637">
        <f>AVERAGE(D14260:G14260)</f>
        <v/>
      </c>
    </row>
    <row r="638">
      <c r="A638" t="inlineStr">
        <is>
          <t>36454784</t>
        </is>
      </c>
      <c r="B638" t="inlineStr">
        <is>
          <t>PRODUCTO A90A63</t>
        </is>
      </c>
      <c r="C638" t="inlineStr">
        <is>
          <t>Salaverry</t>
        </is>
      </c>
      <c r="D638" t="n">
        <v>0</v>
      </c>
      <c r="E638" t="n">
        <v>0</v>
      </c>
      <c r="F638" t="n">
        <v>0</v>
      </c>
      <c r="G638" t="n">
        <v>0</v>
      </c>
      <c r="H638">
        <f>AVERAGE(D14265:G14265)</f>
        <v/>
      </c>
    </row>
    <row r="639">
      <c r="A639" t="inlineStr">
        <is>
          <t>36454784</t>
        </is>
      </c>
      <c r="B639" t="inlineStr">
        <is>
          <t>PRODUCTO A90A63</t>
        </is>
      </c>
      <c r="C639" t="inlineStr">
        <is>
          <t>San Borja</t>
        </is>
      </c>
      <c r="D639" t="n">
        <v>0</v>
      </c>
      <c r="E639" t="n">
        <v>0</v>
      </c>
      <c r="F639" t="n">
        <v>0</v>
      </c>
      <c r="G639" t="n">
        <v>0</v>
      </c>
      <c r="H639">
        <f>AVERAGE(D14266:G14266)</f>
        <v/>
      </c>
    </row>
    <row r="640">
      <c r="A640" t="inlineStr">
        <is>
          <t>36519635</t>
        </is>
      </c>
      <c r="B640" t="inlineStr">
        <is>
          <t>PRODUCTO E34D8E</t>
        </is>
      </c>
      <c r="C640" t="inlineStr">
        <is>
          <t>Jockey Plaza</t>
        </is>
      </c>
      <c r="D640" t="n">
        <v>0</v>
      </c>
      <c r="E640" t="n">
        <v>0</v>
      </c>
      <c r="F640" t="n">
        <v>0</v>
      </c>
      <c r="G640" t="n">
        <v>0</v>
      </c>
      <c r="H640">
        <f>AVERAGE(D14312:G14312)</f>
        <v/>
      </c>
    </row>
    <row r="641">
      <c r="A641" t="inlineStr">
        <is>
          <t>36519635</t>
        </is>
      </c>
      <c r="B641" t="inlineStr">
        <is>
          <t>PRODUCTO E34D8E</t>
        </is>
      </c>
      <c r="C641" t="inlineStr">
        <is>
          <t>San Miguel</t>
        </is>
      </c>
      <c r="D641" t="n">
        <v>0</v>
      </c>
      <c r="E641" t="n">
        <v>0</v>
      </c>
      <c r="F641" t="n">
        <v>0</v>
      </c>
      <c r="G641" t="n">
        <v>0</v>
      </c>
      <c r="H641">
        <f>AVERAGE(D14313:G14313)</f>
        <v/>
      </c>
    </row>
    <row r="642">
      <c r="A642" t="inlineStr">
        <is>
          <t>36519677</t>
        </is>
      </c>
      <c r="B642" t="inlineStr">
        <is>
          <t>PRODUCTO 2828D6</t>
        </is>
      </c>
      <c r="C642" t="inlineStr">
        <is>
          <t>Jockey Plaza</t>
        </is>
      </c>
      <c r="D642" t="n">
        <v>0</v>
      </c>
      <c r="E642" t="n">
        <v>0</v>
      </c>
      <c r="F642" t="n">
        <v>0</v>
      </c>
      <c r="G642" t="n">
        <v>0</v>
      </c>
      <c r="H642">
        <f>AVERAGE(D14355:G14355)</f>
        <v/>
      </c>
    </row>
    <row r="643">
      <c r="A643" t="inlineStr">
        <is>
          <t>36519677</t>
        </is>
      </c>
      <c r="B643" t="inlineStr">
        <is>
          <t>PRODUCTO 2828D6</t>
        </is>
      </c>
      <c r="C643" t="inlineStr">
        <is>
          <t>San Miguel</t>
        </is>
      </c>
      <c r="D643" t="n">
        <v>0</v>
      </c>
      <c r="E643" t="n">
        <v>0</v>
      </c>
      <c r="F643" t="n">
        <v>0</v>
      </c>
      <c r="G643" t="n">
        <v>0</v>
      </c>
      <c r="H643">
        <f>AVERAGE(D14356:G14356)</f>
        <v/>
      </c>
    </row>
    <row r="644">
      <c r="A644" t="inlineStr">
        <is>
          <t>36519677</t>
        </is>
      </c>
      <c r="B644" t="inlineStr">
        <is>
          <t>PRODUCTO 2828D6</t>
        </is>
      </c>
      <c r="C644" t="inlineStr">
        <is>
          <t>Piura</t>
        </is>
      </c>
      <c r="D644" t="n">
        <v>0</v>
      </c>
      <c r="E644" t="n">
        <v>0</v>
      </c>
      <c r="F644" t="n">
        <v>0</v>
      </c>
      <c r="G644" t="n">
        <v>0</v>
      </c>
      <c r="H644">
        <f>AVERAGE(D14358:G14358)</f>
        <v/>
      </c>
    </row>
    <row r="645">
      <c r="A645" t="inlineStr">
        <is>
          <t>36581091</t>
        </is>
      </c>
      <c r="B645" t="inlineStr">
        <is>
          <t>PRODUCTO 967466</t>
        </is>
      </c>
      <c r="C645" t="inlineStr">
        <is>
          <t>Jockey Plaza</t>
        </is>
      </c>
      <c r="D645" t="n">
        <v>0</v>
      </c>
      <c r="E645" t="n">
        <v>0</v>
      </c>
      <c r="F645" t="n">
        <v>0</v>
      </c>
      <c r="G645" t="n">
        <v>0</v>
      </c>
      <c r="H645">
        <f>AVERAGE(D14418:G14418)</f>
        <v/>
      </c>
    </row>
    <row r="646">
      <c r="A646" t="inlineStr">
        <is>
          <t>36581091</t>
        </is>
      </c>
      <c r="B646" t="inlineStr">
        <is>
          <t>PRODUCTO 967466</t>
        </is>
      </c>
      <c r="C646" t="inlineStr">
        <is>
          <t>San Miguel</t>
        </is>
      </c>
      <c r="D646" t="n">
        <v>0</v>
      </c>
      <c r="E646" t="n">
        <v>0</v>
      </c>
      <c r="F646" t="n">
        <v>0</v>
      </c>
      <c r="G646" t="n">
        <v>0</v>
      </c>
      <c r="H646">
        <f>AVERAGE(D14419:G14419)</f>
        <v/>
      </c>
    </row>
    <row r="647">
      <c r="A647" t="inlineStr">
        <is>
          <t>36581091</t>
        </is>
      </c>
      <c r="B647" t="inlineStr">
        <is>
          <t>PRODUCTO 967466</t>
        </is>
      </c>
      <c r="C647" t="inlineStr">
        <is>
          <t>Miraflores</t>
        </is>
      </c>
      <c r="D647" t="n">
        <v>1</v>
      </c>
      <c r="E647" t="n">
        <v>1</v>
      </c>
      <c r="F647" t="n">
        <v>3</v>
      </c>
      <c r="G647" t="n">
        <v>2</v>
      </c>
      <c r="H647">
        <f>AVERAGE(D14420:G14420)</f>
        <v/>
      </c>
    </row>
    <row r="648">
      <c r="A648" t="inlineStr">
        <is>
          <t>36581091</t>
        </is>
      </c>
      <c r="B648" t="inlineStr">
        <is>
          <t>PRODUCTO 967466</t>
        </is>
      </c>
      <c r="C648" t="inlineStr">
        <is>
          <t>Salaverry</t>
        </is>
      </c>
      <c r="D648" t="n">
        <v>0</v>
      </c>
      <c r="E648" t="n">
        <v>0</v>
      </c>
      <c r="F648" t="n">
        <v>0</v>
      </c>
      <c r="G648" t="n">
        <v>0</v>
      </c>
      <c r="H648">
        <f>AVERAGE(D14425:G14425)</f>
        <v/>
      </c>
    </row>
    <row r="649">
      <c r="A649" t="inlineStr">
        <is>
          <t>36581091</t>
        </is>
      </c>
      <c r="B649" t="inlineStr">
        <is>
          <t>PRODUCTO 967466</t>
        </is>
      </c>
      <c r="C649" t="inlineStr">
        <is>
          <t>Piura</t>
        </is>
      </c>
      <c r="D649" t="n">
        <v>0</v>
      </c>
      <c r="E649" t="n">
        <v>0</v>
      </c>
      <c r="F649" t="n">
        <v>0</v>
      </c>
      <c r="G649" t="n">
        <v>0</v>
      </c>
      <c r="H649">
        <f>AVERAGE(D14426:G14426)</f>
        <v/>
      </c>
    </row>
    <row r="650">
      <c r="A650" t="inlineStr">
        <is>
          <t>36664652</t>
        </is>
      </c>
      <c r="B650" t="inlineStr">
        <is>
          <t>PRODUCTO 97BB21</t>
        </is>
      </c>
      <c r="C650" t="inlineStr">
        <is>
          <t>Jockey Plaza</t>
        </is>
      </c>
      <c r="D650" t="n">
        <v>2</v>
      </c>
      <c r="E650" t="n">
        <v>1</v>
      </c>
      <c r="F650" t="n">
        <v>1</v>
      </c>
      <c r="G650" t="n">
        <v>1</v>
      </c>
      <c r="H650">
        <f>AVERAGE(D14533:G14533)</f>
        <v/>
      </c>
    </row>
    <row r="651">
      <c r="A651" t="inlineStr">
        <is>
          <t>36664652</t>
        </is>
      </c>
      <c r="B651" t="inlineStr">
        <is>
          <t>PRODUCTO 97BB21</t>
        </is>
      </c>
      <c r="C651" t="inlineStr">
        <is>
          <t>San Miguel</t>
        </is>
      </c>
      <c r="D651" t="n">
        <v>1</v>
      </c>
      <c r="E651" t="n">
        <v>0</v>
      </c>
      <c r="F651" t="n">
        <v>0</v>
      </c>
      <c r="G651" t="n">
        <v>0</v>
      </c>
      <c r="H651">
        <f>AVERAGE(D14534:G14534)</f>
        <v/>
      </c>
    </row>
    <row r="652">
      <c r="A652" t="inlineStr">
        <is>
          <t>36664652</t>
        </is>
      </c>
      <c r="B652" t="inlineStr">
        <is>
          <t>PRODUCTO 97BB21</t>
        </is>
      </c>
      <c r="C652" t="inlineStr">
        <is>
          <t>Miraflores</t>
        </is>
      </c>
      <c r="D652" t="n">
        <v>1</v>
      </c>
      <c r="E652" t="n">
        <v>0</v>
      </c>
      <c r="F652" t="n">
        <v>0</v>
      </c>
      <c r="G652" t="n">
        <v>0</v>
      </c>
      <c r="H652">
        <f>AVERAGE(D14535:G14535)</f>
        <v/>
      </c>
    </row>
    <row r="653">
      <c r="A653" t="inlineStr">
        <is>
          <t>36664652</t>
        </is>
      </c>
      <c r="B653" t="inlineStr">
        <is>
          <t>PRODUCTO 97BB21</t>
        </is>
      </c>
      <c r="C653" t="inlineStr">
        <is>
          <t>Salaverry</t>
        </is>
      </c>
      <c r="D653" t="n">
        <v>0</v>
      </c>
      <c r="E653" t="n">
        <v>0</v>
      </c>
      <c r="F653" t="n">
        <v>0</v>
      </c>
      <c r="G653" t="n">
        <v>0</v>
      </c>
      <c r="H653">
        <f>AVERAGE(D14538:G14538)</f>
        <v/>
      </c>
    </row>
    <row r="654">
      <c r="A654" t="inlineStr">
        <is>
          <t>36664652</t>
        </is>
      </c>
      <c r="B654" t="inlineStr">
        <is>
          <t>PRODUCTO 97BB21</t>
        </is>
      </c>
      <c r="C654" t="inlineStr">
        <is>
          <t>Piura</t>
        </is>
      </c>
      <c r="D654" t="n">
        <v>0</v>
      </c>
      <c r="E654" t="n">
        <v>0</v>
      </c>
      <c r="F654" t="n">
        <v>0</v>
      </c>
      <c r="G654" t="n">
        <v>0</v>
      </c>
      <c r="H654">
        <f>AVERAGE(D14541:G14541)</f>
        <v/>
      </c>
    </row>
    <row r="655">
      <c r="A655" t="inlineStr">
        <is>
          <t>36664661</t>
        </is>
      </c>
      <c r="B655" t="inlineStr">
        <is>
          <t>PRODUCTO 422168</t>
        </is>
      </c>
      <c r="C655" t="inlineStr">
        <is>
          <t>Jockey Plaza</t>
        </is>
      </c>
      <c r="D655" t="n">
        <v>0</v>
      </c>
      <c r="E655" t="n">
        <v>0</v>
      </c>
      <c r="F655" t="n">
        <v>0</v>
      </c>
      <c r="G655" t="n">
        <v>0</v>
      </c>
      <c r="H655">
        <f>AVERAGE(D14546:G14546)</f>
        <v/>
      </c>
    </row>
    <row r="656">
      <c r="A656" t="inlineStr">
        <is>
          <t>36664661</t>
        </is>
      </c>
      <c r="B656" t="inlineStr">
        <is>
          <t>PRODUCTO 422168</t>
        </is>
      </c>
      <c r="C656" t="inlineStr">
        <is>
          <t>San Miguel</t>
        </is>
      </c>
      <c r="D656" t="n">
        <v>0</v>
      </c>
      <c r="E656" t="n">
        <v>0</v>
      </c>
      <c r="F656" t="n">
        <v>0</v>
      </c>
      <c r="G656" t="n">
        <v>0</v>
      </c>
      <c r="H656">
        <f>AVERAGE(D14547:G14547)</f>
        <v/>
      </c>
    </row>
    <row r="657">
      <c r="A657" t="inlineStr">
        <is>
          <t>36664661</t>
        </is>
      </c>
      <c r="B657" t="inlineStr">
        <is>
          <t>PRODUCTO 422168</t>
        </is>
      </c>
      <c r="C657" t="inlineStr">
        <is>
          <t>Miraflores</t>
        </is>
      </c>
      <c r="D657" t="n">
        <v>0</v>
      </c>
      <c r="E657" t="n">
        <v>0</v>
      </c>
      <c r="F657" t="n">
        <v>0</v>
      </c>
      <c r="G657" t="n">
        <v>0</v>
      </c>
      <c r="H657">
        <f>AVERAGE(D14548:G14548)</f>
        <v/>
      </c>
    </row>
    <row r="658">
      <c r="A658" t="inlineStr">
        <is>
          <t>36664661</t>
        </is>
      </c>
      <c r="B658" t="inlineStr">
        <is>
          <t>PRODUCTO 422168</t>
        </is>
      </c>
      <c r="C658" t="inlineStr">
        <is>
          <t>Piura</t>
        </is>
      </c>
      <c r="D658" t="n">
        <v>0</v>
      </c>
      <c r="E658" t="n">
        <v>0</v>
      </c>
      <c r="F658" t="n">
        <v>0</v>
      </c>
      <c r="G658" t="n">
        <v>0</v>
      </c>
      <c r="H658">
        <f>AVERAGE(D14552:G14552)</f>
        <v/>
      </c>
    </row>
    <row r="659">
      <c r="A659" t="inlineStr">
        <is>
          <t>36664679</t>
        </is>
      </c>
      <c r="B659" t="inlineStr">
        <is>
          <t>PRODUCTO 18B6CB</t>
        </is>
      </c>
      <c r="C659" t="inlineStr">
        <is>
          <t>Miraflores</t>
        </is>
      </c>
      <c r="D659" t="n">
        <v>0</v>
      </c>
      <c r="E659" t="n">
        <v>1</v>
      </c>
      <c r="F659" t="n">
        <v>2</v>
      </c>
      <c r="G659" t="n">
        <v>0</v>
      </c>
      <c r="H659">
        <f>AVERAGE(D14563:G14563)</f>
        <v/>
      </c>
    </row>
    <row r="660">
      <c r="A660" t="inlineStr">
        <is>
          <t>36664679</t>
        </is>
      </c>
      <c r="B660" t="inlineStr">
        <is>
          <t>PRODUCTO 18B6CB</t>
        </is>
      </c>
      <c r="C660" t="inlineStr">
        <is>
          <t>Salaverry</t>
        </is>
      </c>
      <c r="D660" t="n">
        <v>0</v>
      </c>
      <c r="E660" t="n">
        <v>1</v>
      </c>
      <c r="F660" t="n">
        <v>2</v>
      </c>
      <c r="G660" t="n">
        <v>0</v>
      </c>
      <c r="H660">
        <f>AVERAGE(D14564:G14564)</f>
        <v/>
      </c>
    </row>
    <row r="661">
      <c r="A661" t="inlineStr">
        <is>
          <t>36664679</t>
        </is>
      </c>
      <c r="B661" t="inlineStr">
        <is>
          <t>PRODUCTO 18B6CB</t>
        </is>
      </c>
      <c r="C661" t="inlineStr">
        <is>
          <t>Piura</t>
        </is>
      </c>
      <c r="D661" t="n">
        <v>0</v>
      </c>
      <c r="E661" t="n">
        <v>1</v>
      </c>
      <c r="F661" t="n">
        <v>2</v>
      </c>
      <c r="G661" t="n">
        <v>0</v>
      </c>
      <c r="H661">
        <f>AVERAGE(D14565:G14565)</f>
        <v/>
      </c>
    </row>
    <row r="662">
      <c r="A662" t="inlineStr">
        <is>
          <t>36664688</t>
        </is>
      </c>
      <c r="B662" t="inlineStr">
        <is>
          <t>PRODUCTO 0102BA</t>
        </is>
      </c>
      <c r="C662" t="inlineStr">
        <is>
          <t>Jockey Plaza</t>
        </is>
      </c>
      <c r="D662" t="n">
        <v>1</v>
      </c>
      <c r="E662" t="n">
        <v>1</v>
      </c>
      <c r="F662" t="n">
        <v>0</v>
      </c>
      <c r="G662" t="n">
        <v>0</v>
      </c>
      <c r="H662">
        <f>AVERAGE(D14566:G14566)</f>
        <v/>
      </c>
    </row>
    <row r="663">
      <c r="A663" t="inlineStr">
        <is>
          <t>36664688</t>
        </is>
      </c>
      <c r="B663" t="inlineStr">
        <is>
          <t>PRODUCTO 0102BA</t>
        </is>
      </c>
      <c r="C663" t="inlineStr">
        <is>
          <t>Miraflores</t>
        </is>
      </c>
      <c r="D663" t="n">
        <v>0</v>
      </c>
      <c r="E663" t="n">
        <v>0</v>
      </c>
      <c r="F663" t="n">
        <v>0</v>
      </c>
      <c r="G663" t="n">
        <v>0</v>
      </c>
      <c r="H663">
        <f>AVERAGE(D14567:G14567)</f>
        <v/>
      </c>
    </row>
    <row r="664">
      <c r="A664" t="inlineStr">
        <is>
          <t>36664688</t>
        </is>
      </c>
      <c r="B664" t="inlineStr">
        <is>
          <t>PRODUCTO 0102BA</t>
        </is>
      </c>
      <c r="C664" t="inlineStr">
        <is>
          <t>Salaverry</t>
        </is>
      </c>
      <c r="D664" t="n">
        <v>0</v>
      </c>
      <c r="E664" t="n">
        <v>0</v>
      </c>
      <c r="F664" t="n">
        <v>0</v>
      </c>
      <c r="G664" t="n">
        <v>0</v>
      </c>
      <c r="H664">
        <f>AVERAGE(D14571:G14571)</f>
        <v/>
      </c>
    </row>
    <row r="665">
      <c r="A665" t="inlineStr">
        <is>
          <t>36696455</t>
        </is>
      </c>
      <c r="B665" t="inlineStr">
        <is>
          <t>PRODUCTO DA7CFE</t>
        </is>
      </c>
      <c r="C665" t="inlineStr">
        <is>
          <t>Piura</t>
        </is>
      </c>
      <c r="D665" t="n">
        <v>0</v>
      </c>
      <c r="E665" t="n">
        <v>0</v>
      </c>
      <c r="F665" t="n">
        <v>0</v>
      </c>
      <c r="G665" t="n">
        <v>0</v>
      </c>
      <c r="H665">
        <f>AVERAGE(D14638:G14638)</f>
        <v/>
      </c>
    </row>
    <row r="666">
      <c r="A666" t="inlineStr">
        <is>
          <t>36742813</t>
        </is>
      </c>
      <c r="B666" t="inlineStr">
        <is>
          <t>PRODUCTO BC8053</t>
        </is>
      </c>
      <c r="C666" t="inlineStr">
        <is>
          <t>Miraflores</t>
        </is>
      </c>
      <c r="D666" t="n">
        <v>0</v>
      </c>
      <c r="E666" t="n">
        <v>0</v>
      </c>
      <c r="F666" t="n">
        <v>0</v>
      </c>
      <c r="G666" t="n">
        <v>0</v>
      </c>
      <c r="H666">
        <f>AVERAGE(D14743:G14743)</f>
        <v/>
      </c>
    </row>
    <row r="667">
      <c r="A667" t="inlineStr">
        <is>
          <t>36742813</t>
        </is>
      </c>
      <c r="B667" t="inlineStr">
        <is>
          <t>PRODUCTO BC8053</t>
        </is>
      </c>
      <c r="C667" t="inlineStr">
        <is>
          <t>Salaverry</t>
        </is>
      </c>
      <c r="D667" t="n">
        <v>0</v>
      </c>
      <c r="E667" t="n">
        <v>0</v>
      </c>
      <c r="F667" t="n">
        <v>0</v>
      </c>
      <c r="G667" t="n">
        <v>0</v>
      </c>
      <c r="H667">
        <f>AVERAGE(D14745:G14745)</f>
        <v/>
      </c>
    </row>
    <row r="668">
      <c r="A668" t="inlineStr">
        <is>
          <t>36742813</t>
        </is>
      </c>
      <c r="B668" t="inlineStr">
        <is>
          <t>PRODUCTO BC8053</t>
        </is>
      </c>
      <c r="C668" t="inlineStr">
        <is>
          <t>Piura</t>
        </is>
      </c>
      <c r="D668" t="n">
        <v>0</v>
      </c>
      <c r="E668" t="n">
        <v>0</v>
      </c>
      <c r="F668" t="n">
        <v>0</v>
      </c>
      <c r="G668" t="n">
        <v>0</v>
      </c>
      <c r="H668">
        <f>AVERAGE(D14746:G14746)</f>
        <v/>
      </c>
    </row>
    <row r="669">
      <c r="A669" t="inlineStr">
        <is>
          <t>36742833</t>
        </is>
      </c>
      <c r="B669" t="inlineStr">
        <is>
          <t>PRODUCTO 7D7B5D</t>
        </is>
      </c>
      <c r="C669" t="inlineStr">
        <is>
          <t>Miraflores</t>
        </is>
      </c>
      <c r="D669" t="n">
        <v>0</v>
      </c>
      <c r="E669" t="n">
        <v>0</v>
      </c>
      <c r="F669" t="n">
        <v>0</v>
      </c>
      <c r="G669" t="n">
        <v>0</v>
      </c>
      <c r="H669">
        <f>AVERAGE(D14761:G14761)</f>
        <v/>
      </c>
    </row>
    <row r="670">
      <c r="A670" t="inlineStr">
        <is>
          <t>36742833</t>
        </is>
      </c>
      <c r="B670" t="inlineStr">
        <is>
          <t>PRODUCTO 7D7B5D</t>
        </is>
      </c>
      <c r="C670" t="inlineStr">
        <is>
          <t>Salaverry</t>
        </is>
      </c>
      <c r="D670" t="n">
        <v>0</v>
      </c>
      <c r="E670" t="n">
        <v>0</v>
      </c>
      <c r="F670" t="n">
        <v>0</v>
      </c>
      <c r="G670" t="n">
        <v>0</v>
      </c>
      <c r="H670">
        <f>AVERAGE(D14763:G14763)</f>
        <v/>
      </c>
    </row>
    <row r="671">
      <c r="A671" t="inlineStr">
        <is>
          <t>36836506</t>
        </is>
      </c>
      <c r="B671" t="inlineStr">
        <is>
          <t>PRODUCTO 8A1284</t>
        </is>
      </c>
      <c r="C671" t="inlineStr">
        <is>
          <t>Jockey Plaza</t>
        </is>
      </c>
      <c r="D671" t="n">
        <v>0</v>
      </c>
      <c r="E671" t="n">
        <v>0</v>
      </c>
      <c r="F671" t="n">
        <v>0</v>
      </c>
      <c r="G671" t="n">
        <v>0</v>
      </c>
      <c r="H671">
        <f>AVERAGE(D14840:G14840)</f>
        <v/>
      </c>
    </row>
    <row r="672">
      <c r="A672" t="inlineStr">
        <is>
          <t>36836506</t>
        </is>
      </c>
      <c r="B672" t="inlineStr">
        <is>
          <t>PRODUCTO 8A1284</t>
        </is>
      </c>
      <c r="C672" t="inlineStr">
        <is>
          <t>San Miguel</t>
        </is>
      </c>
      <c r="D672" t="n">
        <v>0</v>
      </c>
      <c r="E672" t="n">
        <v>0</v>
      </c>
      <c r="F672" t="n">
        <v>0</v>
      </c>
      <c r="G672" t="n">
        <v>0</v>
      </c>
      <c r="H672">
        <f>AVERAGE(D14841:G14841)</f>
        <v/>
      </c>
    </row>
    <row r="673">
      <c r="A673" t="inlineStr">
        <is>
          <t>36836506</t>
        </is>
      </c>
      <c r="B673" t="inlineStr">
        <is>
          <t>PRODUCTO 8A1284</t>
        </is>
      </c>
      <c r="C673" t="inlineStr">
        <is>
          <t>Miraflores</t>
        </is>
      </c>
      <c r="D673" t="n">
        <v>2</v>
      </c>
      <c r="E673" t="n">
        <v>2</v>
      </c>
      <c r="F673" t="n">
        <v>5</v>
      </c>
      <c r="G673" t="n">
        <v>2</v>
      </c>
      <c r="H673">
        <f>AVERAGE(D14842:G14842)</f>
        <v/>
      </c>
    </row>
    <row r="674">
      <c r="A674" t="inlineStr">
        <is>
          <t>36836506</t>
        </is>
      </c>
      <c r="B674" t="inlineStr">
        <is>
          <t>PRODUCTO 8A1284</t>
        </is>
      </c>
      <c r="C674" t="inlineStr">
        <is>
          <t>Salaverry</t>
        </is>
      </c>
      <c r="D674" t="n">
        <v>0</v>
      </c>
      <c r="E674" t="n">
        <v>0</v>
      </c>
      <c r="F674" t="n">
        <v>0</v>
      </c>
      <c r="G674" t="n">
        <v>0</v>
      </c>
      <c r="H674">
        <f>AVERAGE(D14850:G14850)</f>
        <v/>
      </c>
    </row>
    <row r="675">
      <c r="A675" t="inlineStr">
        <is>
          <t>36836506</t>
        </is>
      </c>
      <c r="B675" t="inlineStr">
        <is>
          <t>PRODUCTO 8A1284</t>
        </is>
      </c>
      <c r="C675" t="inlineStr">
        <is>
          <t>Piura</t>
        </is>
      </c>
      <c r="D675" t="n">
        <v>0</v>
      </c>
      <c r="E675" t="n">
        <v>0</v>
      </c>
      <c r="F675" t="n">
        <v>0</v>
      </c>
      <c r="G675" t="n">
        <v>0</v>
      </c>
      <c r="H675">
        <f>AVERAGE(D14853:G14853)</f>
        <v/>
      </c>
    </row>
    <row r="676">
      <c r="A676" t="inlineStr">
        <is>
          <t>36836523</t>
        </is>
      </c>
      <c r="B676" t="inlineStr">
        <is>
          <t>PRODUCTO EF4F86</t>
        </is>
      </c>
      <c r="C676" t="inlineStr">
        <is>
          <t>Jockey Plaza</t>
        </is>
      </c>
      <c r="D676" t="n">
        <v>0</v>
      </c>
      <c r="E676" t="n">
        <v>0</v>
      </c>
      <c r="F676" t="n">
        <v>0</v>
      </c>
      <c r="G676" t="n">
        <v>0</v>
      </c>
      <c r="H676">
        <f>AVERAGE(D14857:G14857)</f>
        <v/>
      </c>
    </row>
    <row r="677">
      <c r="A677" t="inlineStr">
        <is>
          <t>36836523</t>
        </is>
      </c>
      <c r="B677" t="inlineStr">
        <is>
          <t>PRODUCTO EF4F86</t>
        </is>
      </c>
      <c r="C677" t="inlineStr">
        <is>
          <t>San Miguel</t>
        </is>
      </c>
      <c r="D677" t="n">
        <v>0</v>
      </c>
      <c r="E677" t="n">
        <v>0</v>
      </c>
      <c r="F677" t="n">
        <v>0</v>
      </c>
      <c r="G677" t="n">
        <v>0</v>
      </c>
      <c r="H677">
        <f>AVERAGE(D14858:G14858)</f>
        <v/>
      </c>
    </row>
    <row r="678">
      <c r="A678" t="inlineStr">
        <is>
          <t>36836523</t>
        </is>
      </c>
      <c r="B678" t="inlineStr">
        <is>
          <t>PRODUCTO EF4F86</t>
        </is>
      </c>
      <c r="C678" t="inlineStr">
        <is>
          <t>Miraflores</t>
        </is>
      </c>
      <c r="D678" t="n">
        <v>0</v>
      </c>
      <c r="E678" t="n">
        <v>0</v>
      </c>
      <c r="F678" t="n">
        <v>0</v>
      </c>
      <c r="G678" t="n">
        <v>0</v>
      </c>
      <c r="H678">
        <f>AVERAGE(D14859:G14859)</f>
        <v/>
      </c>
    </row>
    <row r="679">
      <c r="A679" t="inlineStr">
        <is>
          <t>36836523</t>
        </is>
      </c>
      <c r="B679" t="inlineStr">
        <is>
          <t>PRODUCTO EF4F86</t>
        </is>
      </c>
      <c r="C679" t="inlineStr">
        <is>
          <t>Salaverry</t>
        </is>
      </c>
      <c r="D679" t="n">
        <v>0</v>
      </c>
      <c r="E679" t="n">
        <v>0</v>
      </c>
      <c r="F679" t="n">
        <v>0</v>
      </c>
      <c r="G679" t="n">
        <v>0</v>
      </c>
      <c r="H679">
        <f>AVERAGE(D14866:G14866)</f>
        <v/>
      </c>
    </row>
    <row r="680">
      <c r="A680" t="inlineStr">
        <is>
          <t>36836523</t>
        </is>
      </c>
      <c r="B680" t="inlineStr">
        <is>
          <t>PRODUCTO EF4F86</t>
        </is>
      </c>
      <c r="C680" t="inlineStr">
        <is>
          <t>San Borja</t>
        </is>
      </c>
      <c r="D680" t="n">
        <v>2</v>
      </c>
      <c r="E680" t="n">
        <v>2</v>
      </c>
      <c r="F680" t="n">
        <v>1</v>
      </c>
      <c r="G680" t="n">
        <v>1</v>
      </c>
      <c r="H680">
        <f>AVERAGE(D14867:G14867)</f>
        <v/>
      </c>
    </row>
    <row r="681">
      <c r="A681" t="inlineStr">
        <is>
          <t>36836523</t>
        </is>
      </c>
      <c r="B681" t="inlineStr">
        <is>
          <t>PRODUCTO EF4F86</t>
        </is>
      </c>
      <c r="C681" t="inlineStr">
        <is>
          <t>Piura</t>
        </is>
      </c>
      <c r="D681" t="n">
        <v>0</v>
      </c>
      <c r="E681" t="n">
        <v>0</v>
      </c>
      <c r="F681" t="n">
        <v>0</v>
      </c>
      <c r="G681" t="n">
        <v>0</v>
      </c>
      <c r="H681">
        <f>AVERAGE(D14870:G14870)</f>
        <v/>
      </c>
    </row>
    <row r="682">
      <c r="A682" t="inlineStr">
        <is>
          <t>36897685</t>
        </is>
      </c>
      <c r="B682" t="inlineStr">
        <is>
          <t>PRODUCTO D859F1</t>
        </is>
      </c>
      <c r="C682" t="inlineStr">
        <is>
          <t>Jockey Plaza</t>
        </is>
      </c>
      <c r="D682" t="n">
        <v>0</v>
      </c>
      <c r="E682" t="n">
        <v>0</v>
      </c>
      <c r="F682" t="n">
        <v>0</v>
      </c>
      <c r="G682" t="n">
        <v>0</v>
      </c>
      <c r="H682">
        <f>AVERAGE(D14915:G14915)</f>
        <v/>
      </c>
    </row>
    <row r="683">
      <c r="A683" t="inlineStr">
        <is>
          <t>36897685</t>
        </is>
      </c>
      <c r="B683" t="inlineStr">
        <is>
          <t>PRODUCTO D859F1</t>
        </is>
      </c>
      <c r="C683" t="inlineStr">
        <is>
          <t>Miraflores</t>
        </is>
      </c>
      <c r="D683" t="n">
        <v>0</v>
      </c>
      <c r="E683" t="n">
        <v>0</v>
      </c>
      <c r="F683" t="n">
        <v>0</v>
      </c>
      <c r="G683" t="n">
        <v>0</v>
      </c>
      <c r="H683">
        <f>AVERAGE(D14916:G14916)</f>
        <v/>
      </c>
    </row>
    <row r="684">
      <c r="A684" t="inlineStr">
        <is>
          <t>36897685</t>
        </is>
      </c>
      <c r="B684" t="inlineStr">
        <is>
          <t>PRODUCTO D859F1</t>
        </is>
      </c>
      <c r="C684" t="inlineStr">
        <is>
          <t>Salaverry</t>
        </is>
      </c>
      <c r="D684" t="n">
        <v>1</v>
      </c>
      <c r="E684" t="n">
        <v>0</v>
      </c>
      <c r="F684" t="n">
        <v>1</v>
      </c>
      <c r="G684" t="n">
        <v>2</v>
      </c>
      <c r="H684">
        <f>AVERAGE(D14918:G14918)</f>
        <v/>
      </c>
    </row>
    <row r="685">
      <c r="A685" t="inlineStr">
        <is>
          <t>36897685</t>
        </is>
      </c>
      <c r="B685" t="inlineStr">
        <is>
          <t>PRODUCTO D859F1</t>
        </is>
      </c>
      <c r="C685" t="inlineStr">
        <is>
          <t>Piura</t>
        </is>
      </c>
      <c r="D685" t="n">
        <v>0</v>
      </c>
      <c r="E685" t="n">
        <v>0</v>
      </c>
      <c r="F685" t="n">
        <v>0</v>
      </c>
      <c r="G685" t="n">
        <v>0</v>
      </c>
      <c r="H685">
        <f>AVERAGE(D14919:G14919)</f>
        <v/>
      </c>
    </row>
    <row r="686">
      <c r="A686" t="inlineStr">
        <is>
          <t>36897708</t>
        </is>
      </c>
      <c r="B686" t="inlineStr">
        <is>
          <t>PRODUCTO 141000</t>
        </is>
      </c>
      <c r="C686" t="inlineStr">
        <is>
          <t>Jockey Plaza</t>
        </is>
      </c>
      <c r="D686" t="n">
        <v>0</v>
      </c>
      <c r="E686" t="n">
        <v>0</v>
      </c>
      <c r="F686" t="n">
        <v>1</v>
      </c>
      <c r="G686" t="n">
        <v>0</v>
      </c>
      <c r="H686">
        <f>AVERAGE(D14936:G14936)</f>
        <v/>
      </c>
    </row>
    <row r="687">
      <c r="A687" t="inlineStr">
        <is>
          <t>36897708</t>
        </is>
      </c>
      <c r="B687" t="inlineStr">
        <is>
          <t>PRODUCTO 141000</t>
        </is>
      </c>
      <c r="C687" t="inlineStr">
        <is>
          <t>Miraflores</t>
        </is>
      </c>
      <c r="D687" t="n">
        <v>0</v>
      </c>
      <c r="E687" t="n">
        <v>0</v>
      </c>
      <c r="F687" t="n">
        <v>1</v>
      </c>
      <c r="G687" t="n">
        <v>0</v>
      </c>
      <c r="H687">
        <f>AVERAGE(D14937:G14937)</f>
        <v/>
      </c>
    </row>
    <row r="688">
      <c r="A688" t="inlineStr">
        <is>
          <t>36897708</t>
        </is>
      </c>
      <c r="B688" t="inlineStr">
        <is>
          <t>PRODUCTO 141000</t>
        </is>
      </c>
      <c r="C688" t="inlineStr">
        <is>
          <t>Salaverry</t>
        </is>
      </c>
      <c r="D688" t="n">
        <v>0</v>
      </c>
      <c r="E688" t="n">
        <v>0</v>
      </c>
      <c r="F688" t="n">
        <v>1</v>
      </c>
      <c r="G688" t="n">
        <v>0</v>
      </c>
      <c r="H688">
        <f>AVERAGE(D14939:G14939)</f>
        <v/>
      </c>
    </row>
    <row r="689">
      <c r="A689" t="inlineStr">
        <is>
          <t>36897708</t>
        </is>
      </c>
      <c r="B689" t="inlineStr">
        <is>
          <t>PRODUCTO 141000</t>
        </is>
      </c>
      <c r="C689" t="inlineStr">
        <is>
          <t>Piura</t>
        </is>
      </c>
      <c r="D689" t="n">
        <v>0</v>
      </c>
      <c r="E689" t="n">
        <v>0</v>
      </c>
      <c r="F689" t="n">
        <v>1</v>
      </c>
      <c r="G689" t="n">
        <v>0</v>
      </c>
      <c r="H689">
        <f>AVERAGE(D14940:G14940)</f>
        <v/>
      </c>
    </row>
    <row r="690">
      <c r="A690" t="inlineStr">
        <is>
          <t>36897733</t>
        </is>
      </c>
      <c r="B690" t="inlineStr">
        <is>
          <t>PRODUCTO 76B1D5</t>
        </is>
      </c>
      <c r="C690" t="inlineStr">
        <is>
          <t>Jockey Plaza</t>
        </is>
      </c>
      <c r="D690" t="n">
        <v>1</v>
      </c>
      <c r="E690" t="n">
        <v>0</v>
      </c>
      <c r="F690" t="n">
        <v>0</v>
      </c>
      <c r="G690" t="n">
        <v>2</v>
      </c>
      <c r="H690">
        <f>AVERAGE(D14954:G14954)</f>
        <v/>
      </c>
    </row>
    <row r="691">
      <c r="A691" t="inlineStr">
        <is>
          <t>36897733</t>
        </is>
      </c>
      <c r="B691" t="inlineStr">
        <is>
          <t>PRODUCTO 76B1D5</t>
        </is>
      </c>
      <c r="C691" t="inlineStr">
        <is>
          <t>Miraflores</t>
        </is>
      </c>
      <c r="D691" t="n">
        <v>0</v>
      </c>
      <c r="E691" t="n">
        <v>0</v>
      </c>
      <c r="F691" t="n">
        <v>0</v>
      </c>
      <c r="G691" t="n">
        <v>0</v>
      </c>
      <c r="H691">
        <f>AVERAGE(D14955:G14955)</f>
        <v/>
      </c>
    </row>
    <row r="692">
      <c r="A692" t="inlineStr">
        <is>
          <t>36897733</t>
        </is>
      </c>
      <c r="B692" t="inlineStr">
        <is>
          <t>PRODUCTO 76B1D5</t>
        </is>
      </c>
      <c r="C692" t="inlineStr">
        <is>
          <t>Salaverry</t>
        </is>
      </c>
      <c r="D692" t="n">
        <v>0</v>
      </c>
      <c r="E692" t="n">
        <v>0</v>
      </c>
      <c r="F692" t="n">
        <v>0</v>
      </c>
      <c r="G692" t="n">
        <v>0</v>
      </c>
      <c r="H692">
        <f>AVERAGE(D14957:G14957)</f>
        <v/>
      </c>
    </row>
    <row r="693">
      <c r="A693" t="inlineStr">
        <is>
          <t>36897773</t>
        </is>
      </c>
      <c r="B693" t="inlineStr">
        <is>
          <t>PRODUCTO 40629A</t>
        </is>
      </c>
      <c r="C693" t="inlineStr">
        <is>
          <t>Jockey Plaza</t>
        </is>
      </c>
      <c r="D693" t="n">
        <v>0</v>
      </c>
      <c r="E693" t="n">
        <v>1</v>
      </c>
      <c r="F693" t="n">
        <v>0</v>
      </c>
      <c r="G693" t="n">
        <v>0</v>
      </c>
      <c r="H693">
        <f>AVERAGE(D15001:G15001)</f>
        <v/>
      </c>
    </row>
    <row r="694">
      <c r="A694" t="inlineStr">
        <is>
          <t>36897773</t>
        </is>
      </c>
      <c r="B694" t="inlineStr">
        <is>
          <t>PRODUCTO 40629A</t>
        </is>
      </c>
      <c r="C694" t="inlineStr">
        <is>
          <t>Miraflores</t>
        </is>
      </c>
      <c r="D694" t="n">
        <v>0</v>
      </c>
      <c r="E694" t="n">
        <v>1</v>
      </c>
      <c r="F694" t="n">
        <v>0</v>
      </c>
      <c r="G694" t="n">
        <v>0</v>
      </c>
      <c r="H694">
        <f>AVERAGE(D15002:G15002)</f>
        <v/>
      </c>
    </row>
    <row r="695">
      <c r="A695" t="inlineStr">
        <is>
          <t>36897773</t>
        </is>
      </c>
      <c r="B695" t="inlineStr">
        <is>
          <t>PRODUCTO 40629A</t>
        </is>
      </c>
      <c r="C695" t="inlineStr">
        <is>
          <t>Piura</t>
        </is>
      </c>
      <c r="D695" t="n">
        <v>0</v>
      </c>
      <c r="E695" t="n">
        <v>1</v>
      </c>
      <c r="F695" t="n">
        <v>0</v>
      </c>
      <c r="G695" t="n">
        <v>0</v>
      </c>
      <c r="H695">
        <f>AVERAGE(D15004:G15004)</f>
        <v/>
      </c>
    </row>
    <row r="696">
      <c r="A696" t="inlineStr">
        <is>
          <t>36897783</t>
        </is>
      </c>
      <c r="B696" t="inlineStr">
        <is>
          <t>PRODUCTO BDC9FF</t>
        </is>
      </c>
      <c r="C696" t="inlineStr">
        <is>
          <t>Jockey Plaza</t>
        </is>
      </c>
      <c r="D696" t="n">
        <v>0</v>
      </c>
      <c r="E696" t="n">
        <v>0</v>
      </c>
      <c r="F696" t="n">
        <v>0</v>
      </c>
      <c r="G696" t="n">
        <v>0</v>
      </c>
      <c r="H696">
        <f>AVERAGE(D15012:G15012)</f>
        <v/>
      </c>
    </row>
    <row r="697">
      <c r="A697" t="inlineStr">
        <is>
          <t>36897783</t>
        </is>
      </c>
      <c r="B697" t="inlineStr">
        <is>
          <t>PRODUCTO BDC9FF</t>
        </is>
      </c>
      <c r="C697" t="inlineStr">
        <is>
          <t>Miraflores</t>
        </is>
      </c>
      <c r="D697" t="n">
        <v>0</v>
      </c>
      <c r="E697" t="n">
        <v>0</v>
      </c>
      <c r="F697" t="n">
        <v>0</v>
      </c>
      <c r="G697" t="n">
        <v>0</v>
      </c>
      <c r="H697">
        <f>AVERAGE(D15013:G15013)</f>
        <v/>
      </c>
    </row>
    <row r="698">
      <c r="A698" t="inlineStr">
        <is>
          <t>36897783</t>
        </is>
      </c>
      <c r="B698" t="inlineStr">
        <is>
          <t>PRODUCTO BDC9FF</t>
        </is>
      </c>
      <c r="C698" t="inlineStr">
        <is>
          <t>Salaverry</t>
        </is>
      </c>
      <c r="D698" t="n">
        <v>0</v>
      </c>
      <c r="E698" t="n">
        <v>0</v>
      </c>
      <c r="F698" t="n">
        <v>0</v>
      </c>
      <c r="G698" t="n">
        <v>0</v>
      </c>
      <c r="H698">
        <f>AVERAGE(D15014:G15014)</f>
        <v/>
      </c>
    </row>
    <row r="699">
      <c r="A699" t="inlineStr">
        <is>
          <t>36897783</t>
        </is>
      </c>
      <c r="B699" t="inlineStr">
        <is>
          <t>PRODUCTO BDC9FF</t>
        </is>
      </c>
      <c r="C699" t="inlineStr">
        <is>
          <t>Piura</t>
        </is>
      </c>
      <c r="D699" t="n">
        <v>5</v>
      </c>
      <c r="E699" t="n">
        <v>0</v>
      </c>
      <c r="F699" t="n">
        <v>1</v>
      </c>
      <c r="G699" t="n">
        <v>0</v>
      </c>
      <c r="H699">
        <f>AVERAGE(D15016:G15016)</f>
        <v/>
      </c>
    </row>
    <row r="700">
      <c r="A700" t="inlineStr">
        <is>
          <t>36897875</t>
        </is>
      </c>
      <c r="B700" t="inlineStr">
        <is>
          <t>PRODUCTO A8E300</t>
        </is>
      </c>
      <c r="C700" t="inlineStr">
        <is>
          <t>Jockey Plaza</t>
        </is>
      </c>
      <c r="D700" t="n">
        <v>1</v>
      </c>
      <c r="E700" t="n">
        <v>0</v>
      </c>
      <c r="F700" t="n">
        <v>0</v>
      </c>
      <c r="G700" t="n">
        <v>0</v>
      </c>
      <c r="H700">
        <f>AVERAGE(D15088:G15088)</f>
        <v/>
      </c>
    </row>
    <row r="701">
      <c r="A701" t="inlineStr">
        <is>
          <t>36897875</t>
        </is>
      </c>
      <c r="B701" t="inlineStr">
        <is>
          <t>PRODUCTO A8E300</t>
        </is>
      </c>
      <c r="C701" t="inlineStr">
        <is>
          <t>Miraflores</t>
        </is>
      </c>
      <c r="D701" t="n">
        <v>0</v>
      </c>
      <c r="E701" t="n">
        <v>0</v>
      </c>
      <c r="F701" t="n">
        <v>0</v>
      </c>
      <c r="G701" t="n">
        <v>0</v>
      </c>
      <c r="H701">
        <f>AVERAGE(D15089:G15089)</f>
        <v/>
      </c>
    </row>
    <row r="702">
      <c r="A702" t="inlineStr">
        <is>
          <t>36897875</t>
        </is>
      </c>
      <c r="B702" t="inlineStr">
        <is>
          <t>PRODUCTO A8E300</t>
        </is>
      </c>
      <c r="C702" t="inlineStr">
        <is>
          <t>Salaverry</t>
        </is>
      </c>
      <c r="D702" t="n">
        <v>1</v>
      </c>
      <c r="E702" t="n">
        <v>0</v>
      </c>
      <c r="F702" t="n">
        <v>0</v>
      </c>
      <c r="G702" t="n">
        <v>0</v>
      </c>
      <c r="H702">
        <f>AVERAGE(D15091:G15091)</f>
        <v/>
      </c>
    </row>
    <row r="703">
      <c r="A703" t="inlineStr">
        <is>
          <t>36904295</t>
        </is>
      </c>
      <c r="B703" t="inlineStr">
        <is>
          <t>PRODUCTO 2153C7</t>
        </is>
      </c>
      <c r="C703" t="inlineStr">
        <is>
          <t>Jockey Plaza</t>
        </is>
      </c>
      <c r="D703" t="n">
        <v>0</v>
      </c>
      <c r="E703" t="n">
        <v>0</v>
      </c>
      <c r="F703" t="n">
        <v>0</v>
      </c>
      <c r="G703" t="n">
        <v>0</v>
      </c>
      <c r="H703">
        <f>AVERAGE(D15195:G15195)</f>
        <v/>
      </c>
    </row>
    <row r="704">
      <c r="A704" t="inlineStr">
        <is>
          <t>36904295</t>
        </is>
      </c>
      <c r="B704" t="inlineStr">
        <is>
          <t>PRODUCTO 2153C7</t>
        </is>
      </c>
      <c r="C704" t="inlineStr">
        <is>
          <t>San Miguel</t>
        </is>
      </c>
      <c r="D704" t="n">
        <v>0</v>
      </c>
      <c r="E704" t="n">
        <v>0</v>
      </c>
      <c r="F704" t="n">
        <v>0</v>
      </c>
      <c r="G704" t="n">
        <v>0</v>
      </c>
      <c r="H704">
        <f>AVERAGE(D15196:G15196)</f>
        <v/>
      </c>
    </row>
    <row r="705">
      <c r="A705" t="inlineStr">
        <is>
          <t>36904295</t>
        </is>
      </c>
      <c r="B705" t="inlineStr">
        <is>
          <t>PRODUCTO 2153C7</t>
        </is>
      </c>
      <c r="C705" t="inlineStr">
        <is>
          <t>Miraflores</t>
        </is>
      </c>
      <c r="D705" t="n">
        <v>0</v>
      </c>
      <c r="E705" t="n">
        <v>0</v>
      </c>
      <c r="F705" t="n">
        <v>0</v>
      </c>
      <c r="G705" t="n">
        <v>0</v>
      </c>
      <c r="H705">
        <f>AVERAGE(D15197:G15197)</f>
        <v/>
      </c>
    </row>
    <row r="706">
      <c r="A706" t="inlineStr">
        <is>
          <t>36904295</t>
        </is>
      </c>
      <c r="B706" t="inlineStr">
        <is>
          <t>PRODUCTO 2153C7</t>
        </is>
      </c>
      <c r="C706" t="inlineStr">
        <is>
          <t>San Borja</t>
        </is>
      </c>
      <c r="D706" t="n">
        <v>0</v>
      </c>
      <c r="E706" t="n">
        <v>0</v>
      </c>
      <c r="F706" t="n">
        <v>0</v>
      </c>
      <c r="G706" t="n">
        <v>0</v>
      </c>
      <c r="H706">
        <f>AVERAGE(D15204:G15204)</f>
        <v/>
      </c>
    </row>
    <row r="707">
      <c r="A707" t="inlineStr">
        <is>
          <t>36904295</t>
        </is>
      </c>
      <c r="B707" t="inlineStr">
        <is>
          <t>PRODUCTO 2153C7</t>
        </is>
      </c>
      <c r="C707" t="inlineStr">
        <is>
          <t>Piura</t>
        </is>
      </c>
      <c r="D707" t="n">
        <v>0</v>
      </c>
      <c r="E707" t="n">
        <v>0</v>
      </c>
      <c r="F707" t="n">
        <v>0</v>
      </c>
      <c r="G707" t="n">
        <v>0</v>
      </c>
      <c r="H707">
        <f>AVERAGE(D15207:G15207)</f>
        <v/>
      </c>
    </row>
    <row r="708">
      <c r="A708" t="inlineStr">
        <is>
          <t>36904685</t>
        </is>
      </c>
      <c r="B708" t="inlineStr">
        <is>
          <t>PRODUCTO D607EF</t>
        </is>
      </c>
      <c r="C708" t="inlineStr">
        <is>
          <t>Jockey Plaza</t>
        </is>
      </c>
      <c r="D708" t="n">
        <v>1</v>
      </c>
      <c r="E708" t="n">
        <v>0</v>
      </c>
      <c r="F708" t="n">
        <v>0</v>
      </c>
      <c r="G708" t="n">
        <v>0</v>
      </c>
      <c r="H708">
        <f>AVERAGE(D15211:G15211)</f>
        <v/>
      </c>
    </row>
    <row r="709">
      <c r="A709" t="inlineStr">
        <is>
          <t>36904685</t>
        </is>
      </c>
      <c r="B709" t="inlineStr">
        <is>
          <t>PRODUCTO D607EF</t>
        </is>
      </c>
      <c r="C709" t="inlineStr">
        <is>
          <t>San Miguel</t>
        </is>
      </c>
      <c r="D709" t="n">
        <v>1</v>
      </c>
      <c r="E709" t="n">
        <v>0</v>
      </c>
      <c r="F709" t="n">
        <v>0</v>
      </c>
      <c r="G709" t="n">
        <v>0</v>
      </c>
      <c r="H709">
        <f>AVERAGE(D15212:G15212)</f>
        <v/>
      </c>
    </row>
    <row r="710">
      <c r="A710" t="inlineStr">
        <is>
          <t>36904685</t>
        </is>
      </c>
      <c r="B710" t="inlineStr">
        <is>
          <t>PRODUCTO D607EF</t>
        </is>
      </c>
      <c r="C710" t="inlineStr">
        <is>
          <t>Miraflores</t>
        </is>
      </c>
      <c r="D710" t="n">
        <v>2</v>
      </c>
      <c r="E710" t="n">
        <v>0</v>
      </c>
      <c r="F710" t="n">
        <v>0</v>
      </c>
      <c r="G710" t="n">
        <v>0</v>
      </c>
      <c r="H710">
        <f>AVERAGE(D15213:G15213)</f>
        <v/>
      </c>
    </row>
    <row r="711">
      <c r="A711" t="inlineStr">
        <is>
          <t>36904685</t>
        </is>
      </c>
      <c r="B711" t="inlineStr">
        <is>
          <t>PRODUCTO D607EF</t>
        </is>
      </c>
      <c r="C711" t="inlineStr">
        <is>
          <t>San Borja</t>
        </is>
      </c>
      <c r="D711" t="n">
        <v>1</v>
      </c>
      <c r="E711" t="n">
        <v>0</v>
      </c>
      <c r="F711" t="n">
        <v>0</v>
      </c>
      <c r="G711" t="n">
        <v>0</v>
      </c>
      <c r="H711">
        <f>AVERAGE(D15220:G15220)</f>
        <v/>
      </c>
    </row>
    <row r="712">
      <c r="A712" t="inlineStr">
        <is>
          <t>36904685</t>
        </is>
      </c>
      <c r="B712" t="inlineStr">
        <is>
          <t>PRODUCTO D607EF</t>
        </is>
      </c>
      <c r="C712" t="inlineStr">
        <is>
          <t>Piura</t>
        </is>
      </c>
      <c r="D712" t="n">
        <v>2</v>
      </c>
      <c r="E712" t="n">
        <v>0</v>
      </c>
      <c r="F712" t="n">
        <v>0</v>
      </c>
      <c r="G712" t="n">
        <v>0</v>
      </c>
      <c r="H712">
        <f>AVERAGE(D15223:G15223)</f>
        <v/>
      </c>
    </row>
    <row r="713">
      <c r="A713" t="inlineStr">
        <is>
          <t>36933597</t>
        </is>
      </c>
      <c r="B713" t="inlineStr">
        <is>
          <t>PRODUCTO 09C2CB</t>
        </is>
      </c>
      <c r="C713" t="inlineStr">
        <is>
          <t>Jockey Plaza</t>
        </is>
      </c>
      <c r="D713" t="n">
        <v>1</v>
      </c>
      <c r="E713" t="n">
        <v>0</v>
      </c>
      <c r="F713" t="n">
        <v>0</v>
      </c>
      <c r="G713" t="n">
        <v>0</v>
      </c>
      <c r="H713">
        <f>AVERAGE(D15342:G15342)</f>
        <v/>
      </c>
    </row>
    <row r="714">
      <c r="A714" t="inlineStr">
        <is>
          <t>36933597</t>
        </is>
      </c>
      <c r="B714" t="inlineStr">
        <is>
          <t>PRODUCTO 09C2CB</t>
        </is>
      </c>
      <c r="C714" t="inlineStr">
        <is>
          <t>San Miguel</t>
        </is>
      </c>
      <c r="D714" t="n">
        <v>1</v>
      </c>
      <c r="E714" t="n">
        <v>0</v>
      </c>
      <c r="F714" t="n">
        <v>0</v>
      </c>
      <c r="G714" t="n">
        <v>0</v>
      </c>
      <c r="H714">
        <f>AVERAGE(D15343:G15343)</f>
        <v/>
      </c>
    </row>
    <row r="715">
      <c r="A715" t="inlineStr">
        <is>
          <t>36933597</t>
        </is>
      </c>
      <c r="B715" t="inlineStr">
        <is>
          <t>PRODUCTO 09C2CB</t>
        </is>
      </c>
      <c r="C715" t="inlineStr">
        <is>
          <t>Miraflores</t>
        </is>
      </c>
      <c r="D715" t="n">
        <v>0</v>
      </c>
      <c r="E715" t="n">
        <v>0</v>
      </c>
      <c r="F715" t="n">
        <v>0</v>
      </c>
      <c r="G715" t="n">
        <v>0</v>
      </c>
      <c r="H715">
        <f>AVERAGE(D15344:G15344)</f>
        <v/>
      </c>
    </row>
    <row r="716">
      <c r="A716" t="inlineStr">
        <is>
          <t>36933597</t>
        </is>
      </c>
      <c r="B716" t="inlineStr">
        <is>
          <t>PRODUCTO 09C2CB</t>
        </is>
      </c>
      <c r="C716" t="inlineStr">
        <is>
          <t>Salaverry</t>
        </is>
      </c>
      <c r="D716" t="n">
        <v>0</v>
      </c>
      <c r="E716" t="n">
        <v>0</v>
      </c>
      <c r="F716" t="n">
        <v>0</v>
      </c>
      <c r="G716" t="n">
        <v>0</v>
      </c>
      <c r="H716">
        <f>AVERAGE(D15348:G15348)</f>
        <v/>
      </c>
    </row>
    <row r="717">
      <c r="A717" t="inlineStr">
        <is>
          <t>36933597</t>
        </is>
      </c>
      <c r="B717" t="inlineStr">
        <is>
          <t>PRODUCTO 09C2CB</t>
        </is>
      </c>
      <c r="C717" t="inlineStr">
        <is>
          <t>San Borja</t>
        </is>
      </c>
      <c r="D717" t="n">
        <v>1</v>
      </c>
      <c r="E717" t="n">
        <v>0</v>
      </c>
      <c r="F717" t="n">
        <v>0</v>
      </c>
      <c r="G717" t="n">
        <v>0</v>
      </c>
      <c r="H717">
        <f>AVERAGE(D15349:G15349)</f>
        <v/>
      </c>
    </row>
    <row r="718">
      <c r="A718" t="inlineStr">
        <is>
          <t>36933602</t>
        </is>
      </c>
      <c r="B718" t="inlineStr">
        <is>
          <t>PRODUCTO 287BBB</t>
        </is>
      </c>
      <c r="C718" t="inlineStr">
        <is>
          <t>Jockey Plaza</t>
        </is>
      </c>
      <c r="D718" t="n">
        <v>0</v>
      </c>
      <c r="E718" t="n">
        <v>0</v>
      </c>
      <c r="F718" t="n">
        <v>0</v>
      </c>
      <c r="G718" t="n">
        <v>0</v>
      </c>
      <c r="H718">
        <f>AVERAGE(D15355:G15355)</f>
        <v/>
      </c>
    </row>
    <row r="719">
      <c r="A719" t="inlineStr">
        <is>
          <t>36933602</t>
        </is>
      </c>
      <c r="B719" t="inlineStr">
        <is>
          <t>PRODUCTO 287BBB</t>
        </is>
      </c>
      <c r="C719" t="inlineStr">
        <is>
          <t>San Miguel</t>
        </is>
      </c>
      <c r="D719" t="n">
        <v>0</v>
      </c>
      <c r="E719" t="n">
        <v>0</v>
      </c>
      <c r="F719" t="n">
        <v>0</v>
      </c>
      <c r="G719" t="n">
        <v>0</v>
      </c>
      <c r="H719">
        <f>AVERAGE(D15356:G15356)</f>
        <v/>
      </c>
    </row>
    <row r="720">
      <c r="A720" t="inlineStr">
        <is>
          <t>36933602</t>
        </is>
      </c>
      <c r="B720" t="inlineStr">
        <is>
          <t>PRODUCTO 287BBB</t>
        </is>
      </c>
      <c r="C720" t="inlineStr">
        <is>
          <t>Miraflores</t>
        </is>
      </c>
      <c r="D720" t="n">
        <v>2</v>
      </c>
      <c r="E720" t="n">
        <v>1</v>
      </c>
      <c r="F720" t="n">
        <v>1</v>
      </c>
      <c r="G720" t="n">
        <v>1</v>
      </c>
      <c r="H720">
        <f>AVERAGE(D15357:G15357)</f>
        <v/>
      </c>
    </row>
    <row r="721">
      <c r="A721" t="inlineStr">
        <is>
          <t>36933602</t>
        </is>
      </c>
      <c r="B721" t="inlineStr">
        <is>
          <t>PRODUCTO 287BBB</t>
        </is>
      </c>
      <c r="C721" t="inlineStr">
        <is>
          <t>Salaverry</t>
        </is>
      </c>
      <c r="D721" t="n">
        <v>0</v>
      </c>
      <c r="E721" t="n">
        <v>0</v>
      </c>
      <c r="F721" t="n">
        <v>0</v>
      </c>
      <c r="G721" t="n">
        <v>0</v>
      </c>
      <c r="H721">
        <f>AVERAGE(D15361:G15361)</f>
        <v/>
      </c>
    </row>
    <row r="722">
      <c r="A722" t="inlineStr">
        <is>
          <t>36933602</t>
        </is>
      </c>
      <c r="B722" t="inlineStr">
        <is>
          <t>PRODUCTO 287BBB</t>
        </is>
      </c>
      <c r="C722" t="inlineStr">
        <is>
          <t>San Borja</t>
        </is>
      </c>
      <c r="D722" t="n">
        <v>1</v>
      </c>
      <c r="E722" t="n">
        <v>1</v>
      </c>
      <c r="F722" t="n">
        <v>1</v>
      </c>
      <c r="G722" t="n">
        <v>0</v>
      </c>
      <c r="H722">
        <f>AVERAGE(D15362:G15362)</f>
        <v/>
      </c>
    </row>
    <row r="723">
      <c r="A723" t="inlineStr">
        <is>
          <t>36933602</t>
        </is>
      </c>
      <c r="B723" t="inlineStr">
        <is>
          <t>PRODUCTO 287BBB</t>
        </is>
      </c>
      <c r="C723" t="inlineStr">
        <is>
          <t>Piura</t>
        </is>
      </c>
      <c r="D723" t="n">
        <v>0</v>
      </c>
      <c r="E723" t="n">
        <v>0</v>
      </c>
      <c r="F723" t="n">
        <v>0</v>
      </c>
      <c r="G723" t="n">
        <v>0</v>
      </c>
      <c r="H723">
        <f>AVERAGE(D15364:G15364)</f>
        <v/>
      </c>
    </row>
    <row r="724">
      <c r="A724" t="inlineStr">
        <is>
          <t>36933635</t>
        </is>
      </c>
      <c r="B724" t="inlineStr">
        <is>
          <t>PRODUCTO 59F781</t>
        </is>
      </c>
      <c r="C724" t="inlineStr">
        <is>
          <t>Jockey Plaza</t>
        </is>
      </c>
      <c r="D724" t="n">
        <v>0</v>
      </c>
      <c r="E724" t="n">
        <v>0</v>
      </c>
      <c r="F724" t="n">
        <v>0</v>
      </c>
      <c r="G724" t="n">
        <v>0</v>
      </c>
      <c r="H724">
        <f>AVERAGE(D15411:G15411)</f>
        <v/>
      </c>
    </row>
    <row r="725">
      <c r="A725" t="inlineStr">
        <is>
          <t>36933635</t>
        </is>
      </c>
      <c r="B725" t="inlineStr">
        <is>
          <t>PRODUCTO 59F781</t>
        </is>
      </c>
      <c r="C725" t="inlineStr">
        <is>
          <t>San Miguel</t>
        </is>
      </c>
      <c r="D725" t="n">
        <v>0</v>
      </c>
      <c r="E725" t="n">
        <v>0</v>
      </c>
      <c r="F725" t="n">
        <v>0</v>
      </c>
      <c r="G725" t="n">
        <v>0</v>
      </c>
      <c r="H725">
        <f>AVERAGE(D15412:G15412)</f>
        <v/>
      </c>
    </row>
    <row r="726">
      <c r="A726" t="inlineStr">
        <is>
          <t>36933635</t>
        </is>
      </c>
      <c r="B726" t="inlineStr">
        <is>
          <t>PRODUCTO 59F781</t>
        </is>
      </c>
      <c r="C726" t="inlineStr">
        <is>
          <t>Miraflores</t>
        </is>
      </c>
      <c r="D726" t="n">
        <v>0</v>
      </c>
      <c r="E726" t="n">
        <v>0</v>
      </c>
      <c r="F726" t="n">
        <v>0</v>
      </c>
      <c r="G726" t="n">
        <v>0</v>
      </c>
      <c r="H726">
        <f>AVERAGE(D15413:G15413)</f>
        <v/>
      </c>
    </row>
    <row r="727">
      <c r="A727" t="inlineStr">
        <is>
          <t>36933635</t>
        </is>
      </c>
      <c r="B727" t="inlineStr">
        <is>
          <t>PRODUCTO 59F781</t>
        </is>
      </c>
      <c r="C727" t="inlineStr">
        <is>
          <t>Salaverry</t>
        </is>
      </c>
      <c r="D727" t="n">
        <v>0</v>
      </c>
      <c r="E727" t="n">
        <v>0</v>
      </c>
      <c r="F727" t="n">
        <v>0</v>
      </c>
      <c r="G727" t="n">
        <v>0</v>
      </c>
      <c r="H727">
        <f>AVERAGE(D15417:G15417)</f>
        <v/>
      </c>
    </row>
    <row r="728">
      <c r="A728" t="inlineStr">
        <is>
          <t>36933635</t>
        </is>
      </c>
      <c r="B728" t="inlineStr">
        <is>
          <t>PRODUCTO 59F781</t>
        </is>
      </c>
      <c r="C728" t="inlineStr">
        <is>
          <t>San Borja</t>
        </is>
      </c>
      <c r="D728" t="n">
        <v>0</v>
      </c>
      <c r="E728" t="n">
        <v>0</v>
      </c>
      <c r="F728" t="n">
        <v>0</v>
      </c>
      <c r="G728" t="n">
        <v>0</v>
      </c>
      <c r="H728">
        <f>AVERAGE(D15418:G15418)</f>
        <v/>
      </c>
    </row>
    <row r="729">
      <c r="A729" t="inlineStr">
        <is>
          <t>36933635</t>
        </is>
      </c>
      <c r="B729" t="inlineStr">
        <is>
          <t>PRODUCTO 59F781</t>
        </is>
      </c>
      <c r="C729" t="inlineStr">
        <is>
          <t>Piura</t>
        </is>
      </c>
      <c r="D729" t="n">
        <v>-1</v>
      </c>
      <c r="E729" t="n">
        <v>0</v>
      </c>
      <c r="F729" t="n">
        <v>0</v>
      </c>
      <c r="G729" t="n">
        <v>0</v>
      </c>
      <c r="H729">
        <f>AVERAGE(D15420:G15420)</f>
        <v/>
      </c>
    </row>
    <row r="730">
      <c r="A730" t="inlineStr">
        <is>
          <t>36994505</t>
        </is>
      </c>
      <c r="B730" t="inlineStr">
        <is>
          <t>PRODUCTO FCA05C</t>
        </is>
      </c>
      <c r="C730" t="inlineStr">
        <is>
          <t>Jockey Plaza</t>
        </is>
      </c>
      <c r="D730" t="n">
        <v>1</v>
      </c>
      <c r="E730" t="n">
        <v>1</v>
      </c>
      <c r="F730" t="n">
        <v>1</v>
      </c>
      <c r="G730" t="n">
        <v>1</v>
      </c>
      <c r="H730">
        <f>AVERAGE(D15616:G15616)</f>
        <v/>
      </c>
    </row>
    <row r="731">
      <c r="A731" t="inlineStr">
        <is>
          <t>36994505</t>
        </is>
      </c>
      <c r="B731" t="inlineStr">
        <is>
          <t>PRODUCTO FCA05C</t>
        </is>
      </c>
      <c r="C731" t="inlineStr">
        <is>
          <t>San Miguel</t>
        </is>
      </c>
      <c r="D731" t="n">
        <v>0</v>
      </c>
      <c r="E731" t="n">
        <v>0</v>
      </c>
      <c r="F731" t="n">
        <v>0</v>
      </c>
      <c r="G731" t="n">
        <v>0</v>
      </c>
      <c r="H731">
        <f>AVERAGE(D15617:G15617)</f>
        <v/>
      </c>
    </row>
    <row r="732">
      <c r="A732" t="inlineStr">
        <is>
          <t>36994505</t>
        </is>
      </c>
      <c r="B732" t="inlineStr">
        <is>
          <t>PRODUCTO FCA05C</t>
        </is>
      </c>
      <c r="C732" t="inlineStr">
        <is>
          <t>Miraflores</t>
        </is>
      </c>
      <c r="D732" t="n">
        <v>5</v>
      </c>
      <c r="E732" t="n">
        <v>4</v>
      </c>
      <c r="F732" t="n">
        <v>7</v>
      </c>
      <c r="G732" t="n">
        <v>6</v>
      </c>
      <c r="H732">
        <f>AVERAGE(D15618:G15618)</f>
        <v/>
      </c>
    </row>
    <row r="733">
      <c r="A733" t="inlineStr">
        <is>
          <t>36994505</t>
        </is>
      </c>
      <c r="B733" t="inlineStr">
        <is>
          <t>PRODUCTO FCA05C</t>
        </is>
      </c>
      <c r="C733" t="inlineStr">
        <is>
          <t>Salaverry</t>
        </is>
      </c>
      <c r="D733" t="n">
        <v>2</v>
      </c>
      <c r="E733" t="n">
        <v>2</v>
      </c>
      <c r="F733" t="n">
        <v>3</v>
      </c>
      <c r="G733" t="n">
        <v>2</v>
      </c>
      <c r="H733">
        <f>AVERAGE(D15621:G15621)</f>
        <v/>
      </c>
    </row>
    <row r="734">
      <c r="A734" t="inlineStr">
        <is>
          <t>36994505</t>
        </is>
      </c>
      <c r="B734" t="inlineStr">
        <is>
          <t>PRODUCTO FCA05C</t>
        </is>
      </c>
      <c r="C734" t="inlineStr">
        <is>
          <t>San Borja</t>
        </is>
      </c>
      <c r="D734" t="n">
        <v>5</v>
      </c>
      <c r="E734" t="n">
        <v>4</v>
      </c>
      <c r="F734" t="n">
        <v>7</v>
      </c>
      <c r="G734" t="n">
        <v>6</v>
      </c>
      <c r="H734">
        <f>AVERAGE(D15622:G15622)</f>
        <v/>
      </c>
    </row>
    <row r="735">
      <c r="A735" t="inlineStr">
        <is>
          <t>36994505</t>
        </is>
      </c>
      <c r="B735" t="inlineStr">
        <is>
          <t>PRODUCTO FCA05C</t>
        </is>
      </c>
      <c r="C735" t="inlineStr">
        <is>
          <t>Piura</t>
        </is>
      </c>
      <c r="D735" t="n">
        <v>4</v>
      </c>
      <c r="E735" t="n">
        <v>3</v>
      </c>
      <c r="F735" t="n">
        <v>5</v>
      </c>
      <c r="G735" t="n">
        <v>5</v>
      </c>
      <c r="H735">
        <f>AVERAGE(D15624:G15624)</f>
        <v/>
      </c>
    </row>
    <row r="736">
      <c r="A736" t="inlineStr">
        <is>
          <t>37011331</t>
        </is>
      </c>
      <c r="B736" t="inlineStr">
        <is>
          <t>PRODUCTO E4B202</t>
        </is>
      </c>
      <c r="C736" t="inlineStr">
        <is>
          <t>Jockey Plaza</t>
        </is>
      </c>
      <c r="D736" t="n">
        <v>2</v>
      </c>
      <c r="E736" t="n">
        <v>2</v>
      </c>
      <c r="F736" t="n">
        <v>1</v>
      </c>
      <c r="G736" t="n">
        <v>2</v>
      </c>
      <c r="H736">
        <f>AVERAGE(D15722:G15722)</f>
        <v/>
      </c>
    </row>
    <row r="737">
      <c r="A737" t="inlineStr">
        <is>
          <t>37011331</t>
        </is>
      </c>
      <c r="B737" t="inlineStr">
        <is>
          <t>PRODUCTO E4B202</t>
        </is>
      </c>
      <c r="C737" t="inlineStr">
        <is>
          <t>San Miguel</t>
        </is>
      </c>
      <c r="D737" t="n">
        <v>2</v>
      </c>
      <c r="E737" t="n">
        <v>2</v>
      </c>
      <c r="F737" t="n">
        <v>1</v>
      </c>
      <c r="G737" t="n">
        <v>2</v>
      </c>
      <c r="H737">
        <f>AVERAGE(D15723:G15723)</f>
        <v/>
      </c>
    </row>
    <row r="738">
      <c r="A738" t="inlineStr">
        <is>
          <t>37011331</t>
        </is>
      </c>
      <c r="B738" t="inlineStr">
        <is>
          <t>PRODUCTO E4B202</t>
        </is>
      </c>
      <c r="C738" t="inlineStr">
        <is>
          <t>Miraflores</t>
        </is>
      </c>
      <c r="D738" t="n">
        <v>2</v>
      </c>
      <c r="E738" t="n">
        <v>2</v>
      </c>
      <c r="F738" t="n">
        <v>1</v>
      </c>
      <c r="G738" t="n">
        <v>2</v>
      </c>
      <c r="H738">
        <f>AVERAGE(D15724:G15724)</f>
        <v/>
      </c>
    </row>
    <row r="739">
      <c r="A739" t="inlineStr">
        <is>
          <t>37011331</t>
        </is>
      </c>
      <c r="B739" t="inlineStr">
        <is>
          <t>PRODUCTO E4B202</t>
        </is>
      </c>
      <c r="C739" t="inlineStr">
        <is>
          <t>Salaverry</t>
        </is>
      </c>
      <c r="D739" t="n">
        <v>1</v>
      </c>
      <c r="E739" t="n">
        <v>1</v>
      </c>
      <c r="F739" t="n">
        <v>0</v>
      </c>
      <c r="G739" t="n">
        <v>1</v>
      </c>
      <c r="H739">
        <f>AVERAGE(D15727:G15727)</f>
        <v/>
      </c>
    </row>
    <row r="740">
      <c r="A740" t="inlineStr">
        <is>
          <t>37011331</t>
        </is>
      </c>
      <c r="B740" t="inlineStr">
        <is>
          <t>PRODUCTO E4B202</t>
        </is>
      </c>
      <c r="C740" t="inlineStr">
        <is>
          <t>San Borja</t>
        </is>
      </c>
      <c r="D740" t="n">
        <v>0</v>
      </c>
      <c r="E740" t="n">
        <v>0</v>
      </c>
      <c r="F740" t="n">
        <v>0</v>
      </c>
      <c r="G740" t="n">
        <v>0</v>
      </c>
      <c r="H740">
        <f>AVERAGE(D15728:G15728)</f>
        <v/>
      </c>
    </row>
    <row r="741">
      <c r="A741" t="inlineStr">
        <is>
          <t>37011336</t>
        </is>
      </c>
      <c r="B741" t="inlineStr">
        <is>
          <t>PRODUCTO 655101</t>
        </is>
      </c>
      <c r="C741" t="inlineStr">
        <is>
          <t>Jockey Plaza</t>
        </is>
      </c>
      <c r="D741" t="n">
        <v>0</v>
      </c>
      <c r="E741" t="n">
        <v>0</v>
      </c>
      <c r="F741" t="n">
        <v>0</v>
      </c>
      <c r="G741" t="n">
        <v>0</v>
      </c>
      <c r="H741">
        <f>AVERAGE(D15733:G15733)</f>
        <v/>
      </c>
    </row>
    <row r="742">
      <c r="A742" t="inlineStr">
        <is>
          <t>37011336</t>
        </is>
      </c>
      <c r="B742" t="inlineStr">
        <is>
          <t>PRODUCTO 655101</t>
        </is>
      </c>
      <c r="C742" t="inlineStr">
        <is>
          <t>San Miguel</t>
        </is>
      </c>
      <c r="D742" t="n">
        <v>0</v>
      </c>
      <c r="E742" t="n">
        <v>0</v>
      </c>
      <c r="F742" t="n">
        <v>0</v>
      </c>
      <c r="G742" t="n">
        <v>0</v>
      </c>
      <c r="H742">
        <f>AVERAGE(D15734:G15734)</f>
        <v/>
      </c>
    </row>
    <row r="743">
      <c r="A743" t="inlineStr">
        <is>
          <t>37011336</t>
        </is>
      </c>
      <c r="B743" t="inlineStr">
        <is>
          <t>PRODUCTO 655101</t>
        </is>
      </c>
      <c r="C743" t="inlineStr">
        <is>
          <t>Miraflores</t>
        </is>
      </c>
      <c r="D743" t="n">
        <v>0</v>
      </c>
      <c r="E743" t="n">
        <v>0</v>
      </c>
      <c r="F743" t="n">
        <v>0</v>
      </c>
      <c r="G743" t="n">
        <v>0</v>
      </c>
      <c r="H743">
        <f>AVERAGE(D15735:G15735)</f>
        <v/>
      </c>
    </row>
    <row r="744">
      <c r="A744" t="inlineStr">
        <is>
          <t>37011336</t>
        </is>
      </c>
      <c r="B744" t="inlineStr">
        <is>
          <t>PRODUCTO 655101</t>
        </is>
      </c>
      <c r="C744" t="inlineStr">
        <is>
          <t>Salaverry</t>
        </is>
      </c>
      <c r="D744" t="n">
        <v>1</v>
      </c>
      <c r="E744" t="n">
        <v>1</v>
      </c>
      <c r="F744" t="n">
        <v>0</v>
      </c>
      <c r="G744" t="n">
        <v>0</v>
      </c>
      <c r="H744">
        <f>AVERAGE(D15739:G15739)</f>
        <v/>
      </c>
    </row>
    <row r="745">
      <c r="A745" t="inlineStr">
        <is>
          <t>37011336</t>
        </is>
      </c>
      <c r="B745" t="inlineStr">
        <is>
          <t>PRODUCTO 655101</t>
        </is>
      </c>
      <c r="C745" t="inlineStr">
        <is>
          <t>San Borja</t>
        </is>
      </c>
      <c r="D745" t="n">
        <v>2</v>
      </c>
      <c r="E745" t="n">
        <v>2</v>
      </c>
      <c r="F745" t="n">
        <v>1</v>
      </c>
      <c r="G745" t="n">
        <v>0</v>
      </c>
      <c r="H745">
        <f>AVERAGE(D15740:G15740)</f>
        <v/>
      </c>
    </row>
    <row r="746">
      <c r="A746" t="inlineStr">
        <is>
          <t>37011535</t>
        </is>
      </c>
      <c r="B746" t="inlineStr">
        <is>
          <t>PRODUCTO D93874</t>
        </is>
      </c>
      <c r="C746" t="inlineStr">
        <is>
          <t>Jockey Plaza</t>
        </is>
      </c>
      <c r="D746" t="n">
        <v>2</v>
      </c>
      <c r="E746" t="n">
        <v>1</v>
      </c>
      <c r="F746" t="n">
        <v>2</v>
      </c>
      <c r="G746" t="n">
        <v>1</v>
      </c>
      <c r="H746">
        <f>AVERAGE(D15791:G15791)</f>
        <v/>
      </c>
    </row>
    <row r="747">
      <c r="A747" t="inlineStr">
        <is>
          <t>37011535</t>
        </is>
      </c>
      <c r="B747" t="inlineStr">
        <is>
          <t>PRODUCTO D93874</t>
        </is>
      </c>
      <c r="C747" t="inlineStr">
        <is>
          <t>San Miguel</t>
        </is>
      </c>
      <c r="D747" t="n">
        <v>0</v>
      </c>
      <c r="E747" t="n">
        <v>0</v>
      </c>
      <c r="F747" t="n">
        <v>0</v>
      </c>
      <c r="G747" t="n">
        <v>0</v>
      </c>
      <c r="H747">
        <f>AVERAGE(D15792:G15792)</f>
        <v/>
      </c>
    </row>
    <row r="748">
      <c r="A748" t="inlineStr">
        <is>
          <t>37011535</t>
        </is>
      </c>
      <c r="B748" t="inlineStr">
        <is>
          <t>PRODUCTO D93874</t>
        </is>
      </c>
      <c r="C748" t="inlineStr">
        <is>
          <t>Miraflores</t>
        </is>
      </c>
      <c r="D748" t="n">
        <v>4</v>
      </c>
      <c r="E748" t="n">
        <v>2</v>
      </c>
      <c r="F748" t="n">
        <v>3</v>
      </c>
      <c r="G748" t="n">
        <v>2</v>
      </c>
      <c r="H748">
        <f>AVERAGE(D15793:G15793)</f>
        <v/>
      </c>
    </row>
    <row r="749">
      <c r="A749" t="inlineStr">
        <is>
          <t>37011535</t>
        </is>
      </c>
      <c r="B749" t="inlineStr">
        <is>
          <t>PRODUCTO D93874</t>
        </is>
      </c>
      <c r="C749" t="inlineStr">
        <is>
          <t>Salaverry</t>
        </is>
      </c>
      <c r="D749" t="n">
        <v>1</v>
      </c>
      <c r="E749" t="n">
        <v>0</v>
      </c>
      <c r="F749" t="n">
        <v>1</v>
      </c>
      <c r="G749" t="n">
        <v>1</v>
      </c>
      <c r="H749">
        <f>AVERAGE(D15796:G15796)</f>
        <v/>
      </c>
    </row>
    <row r="750">
      <c r="A750" t="inlineStr">
        <is>
          <t>37011535</t>
        </is>
      </c>
      <c r="B750" t="inlineStr">
        <is>
          <t>PRODUCTO D93874</t>
        </is>
      </c>
      <c r="C750" t="inlineStr">
        <is>
          <t>San Borja</t>
        </is>
      </c>
      <c r="D750" t="n">
        <v>0</v>
      </c>
      <c r="E750" t="n">
        <v>0</v>
      </c>
      <c r="F750" t="n">
        <v>0</v>
      </c>
      <c r="G750" t="n">
        <v>0</v>
      </c>
      <c r="H750">
        <f>AVERAGE(D15797:G15797)</f>
        <v/>
      </c>
    </row>
    <row r="751">
      <c r="A751" t="inlineStr">
        <is>
          <t>37011535</t>
        </is>
      </c>
      <c r="B751" t="inlineStr">
        <is>
          <t>PRODUCTO D93874</t>
        </is>
      </c>
      <c r="C751" t="inlineStr">
        <is>
          <t>Piura</t>
        </is>
      </c>
      <c r="D751" t="n">
        <v>7</v>
      </c>
      <c r="E751" t="n">
        <v>3</v>
      </c>
      <c r="F751" t="n">
        <v>6</v>
      </c>
      <c r="G751" t="n">
        <v>4</v>
      </c>
      <c r="H751">
        <f>AVERAGE(D15799:G15799)</f>
        <v/>
      </c>
    </row>
    <row r="752">
      <c r="A752" t="inlineStr">
        <is>
          <t>37035794</t>
        </is>
      </c>
      <c r="B752" t="inlineStr">
        <is>
          <t>PRODUCTO 196FB2</t>
        </is>
      </c>
      <c r="C752" t="inlineStr">
        <is>
          <t>Jockey Plaza</t>
        </is>
      </c>
      <c r="D752" t="n">
        <v>0</v>
      </c>
      <c r="E752" t="n">
        <v>0</v>
      </c>
      <c r="F752" t="n">
        <v>0</v>
      </c>
      <c r="G752" t="n">
        <v>0</v>
      </c>
      <c r="H752">
        <f>AVERAGE(D15858:G15858)</f>
        <v/>
      </c>
    </row>
    <row r="753">
      <c r="A753" t="inlineStr">
        <is>
          <t>37035794</t>
        </is>
      </c>
      <c r="B753" t="inlineStr">
        <is>
          <t>PRODUCTO 196FB2</t>
        </is>
      </c>
      <c r="C753" t="inlineStr">
        <is>
          <t>Miraflores</t>
        </is>
      </c>
      <c r="D753" t="n">
        <v>0</v>
      </c>
      <c r="E753" t="n">
        <v>0</v>
      </c>
      <c r="F753" t="n">
        <v>0</v>
      </c>
      <c r="G753" t="n">
        <v>0</v>
      </c>
      <c r="H753">
        <f>AVERAGE(D15859:G15859)</f>
        <v/>
      </c>
    </row>
    <row r="754">
      <c r="A754" t="inlineStr">
        <is>
          <t>37035794</t>
        </is>
      </c>
      <c r="B754" t="inlineStr">
        <is>
          <t>PRODUCTO 196FB2</t>
        </is>
      </c>
      <c r="C754" t="inlineStr">
        <is>
          <t>Salaverry</t>
        </is>
      </c>
      <c r="D754" t="n">
        <v>0</v>
      </c>
      <c r="E754" t="n">
        <v>0</v>
      </c>
      <c r="F754" t="n">
        <v>0</v>
      </c>
      <c r="G754" t="n">
        <v>0</v>
      </c>
      <c r="H754">
        <f>AVERAGE(D15861:G15861)</f>
        <v/>
      </c>
    </row>
    <row r="755">
      <c r="A755" t="inlineStr">
        <is>
          <t>37035794</t>
        </is>
      </c>
      <c r="B755" t="inlineStr">
        <is>
          <t>PRODUCTO 196FB2</t>
        </is>
      </c>
      <c r="C755" t="inlineStr">
        <is>
          <t>Piura</t>
        </is>
      </c>
      <c r="D755" t="n">
        <v>1</v>
      </c>
      <c r="E755" t="n">
        <v>2</v>
      </c>
      <c r="F755" t="n">
        <v>2</v>
      </c>
      <c r="G755" t="n">
        <v>2</v>
      </c>
      <c r="H755">
        <f>AVERAGE(D15862:G15862)</f>
        <v/>
      </c>
    </row>
    <row r="756">
      <c r="A756" t="inlineStr">
        <is>
          <t>37035817</t>
        </is>
      </c>
      <c r="B756" t="inlineStr">
        <is>
          <t>PRODUCTO 03BF40</t>
        </is>
      </c>
      <c r="C756" t="inlineStr">
        <is>
          <t>Jockey Plaza</t>
        </is>
      </c>
      <c r="D756" t="n">
        <v>0</v>
      </c>
      <c r="E756" t="n">
        <v>0</v>
      </c>
      <c r="F756" t="n">
        <v>0</v>
      </c>
      <c r="G756" t="n">
        <v>0</v>
      </c>
      <c r="H756">
        <f>AVERAGE(D15874:G15874)</f>
        <v/>
      </c>
    </row>
    <row r="757">
      <c r="A757" t="inlineStr">
        <is>
          <t>37035817</t>
        </is>
      </c>
      <c r="B757" t="inlineStr">
        <is>
          <t>PRODUCTO 03BF40</t>
        </is>
      </c>
      <c r="C757" t="inlineStr">
        <is>
          <t>Miraflores</t>
        </is>
      </c>
      <c r="D757" t="n">
        <v>0</v>
      </c>
      <c r="E757" t="n">
        <v>0</v>
      </c>
      <c r="F757" t="n">
        <v>0</v>
      </c>
      <c r="G757" t="n">
        <v>0</v>
      </c>
      <c r="H757">
        <f>AVERAGE(D15875:G15875)</f>
        <v/>
      </c>
    </row>
    <row r="758">
      <c r="A758" t="inlineStr">
        <is>
          <t>37035817</t>
        </is>
      </c>
      <c r="B758" t="inlineStr">
        <is>
          <t>PRODUCTO 03BF40</t>
        </is>
      </c>
      <c r="C758" t="inlineStr">
        <is>
          <t>Piura</t>
        </is>
      </c>
      <c r="D758" t="n">
        <v>1</v>
      </c>
      <c r="E758" t="n">
        <v>0</v>
      </c>
      <c r="F758" t="n">
        <v>2</v>
      </c>
      <c r="G758" t="n">
        <v>0</v>
      </c>
      <c r="H758">
        <f>AVERAGE(D15877:G15877)</f>
        <v/>
      </c>
    </row>
    <row r="759">
      <c r="A759" t="inlineStr">
        <is>
          <t>37035822</t>
        </is>
      </c>
      <c r="B759" t="inlineStr">
        <is>
          <t>PRODUCTO 3BC968</t>
        </is>
      </c>
      <c r="C759" t="inlineStr">
        <is>
          <t>Jockey Plaza</t>
        </is>
      </c>
      <c r="D759" t="n">
        <v>0</v>
      </c>
      <c r="E759" t="n">
        <v>0</v>
      </c>
      <c r="F759" t="n">
        <v>0</v>
      </c>
      <c r="G759" t="n">
        <v>0</v>
      </c>
      <c r="H759">
        <f>AVERAGE(D15879:G15879)</f>
        <v/>
      </c>
    </row>
    <row r="760">
      <c r="A760" t="inlineStr">
        <is>
          <t>37035822</t>
        </is>
      </c>
      <c r="B760" t="inlineStr">
        <is>
          <t>PRODUCTO 3BC968</t>
        </is>
      </c>
      <c r="C760" t="inlineStr">
        <is>
          <t>Miraflores</t>
        </is>
      </c>
      <c r="D760" t="n">
        <v>0</v>
      </c>
      <c r="E760" t="n">
        <v>0</v>
      </c>
      <c r="F760" t="n">
        <v>0</v>
      </c>
      <c r="G760" t="n">
        <v>0</v>
      </c>
      <c r="H760">
        <f>AVERAGE(D15880:G15880)</f>
        <v/>
      </c>
    </row>
    <row r="761">
      <c r="A761" t="inlineStr">
        <is>
          <t>37035822</t>
        </is>
      </c>
      <c r="B761" t="inlineStr">
        <is>
          <t>PRODUCTO 3BC968</t>
        </is>
      </c>
      <c r="C761" t="inlineStr">
        <is>
          <t>Salaverry</t>
        </is>
      </c>
      <c r="D761" t="n">
        <v>0</v>
      </c>
      <c r="E761" t="n">
        <v>0</v>
      </c>
      <c r="F761" t="n">
        <v>0</v>
      </c>
      <c r="G761" t="n">
        <v>0</v>
      </c>
      <c r="H761">
        <f>AVERAGE(D15882:G15882)</f>
        <v/>
      </c>
    </row>
    <row r="762">
      <c r="A762" t="inlineStr">
        <is>
          <t>37035822</t>
        </is>
      </c>
      <c r="B762" t="inlineStr">
        <is>
          <t>PRODUCTO 3BC968</t>
        </is>
      </c>
      <c r="C762" t="inlineStr">
        <is>
          <t>Piura</t>
        </is>
      </c>
      <c r="D762" t="n">
        <v>0</v>
      </c>
      <c r="E762" t="n">
        <v>0</v>
      </c>
      <c r="F762" t="n">
        <v>0</v>
      </c>
      <c r="G762" t="n">
        <v>0</v>
      </c>
      <c r="H762">
        <f>AVERAGE(D15883:G15883)</f>
        <v/>
      </c>
    </row>
    <row r="763">
      <c r="A763" t="inlineStr">
        <is>
          <t>37035827</t>
        </is>
      </c>
      <c r="B763" t="inlineStr">
        <is>
          <t>PRODUCTO 6930EB</t>
        </is>
      </c>
      <c r="C763" t="inlineStr">
        <is>
          <t>Jockey Plaza</t>
        </is>
      </c>
      <c r="D763" t="n">
        <v>0</v>
      </c>
      <c r="E763" t="n">
        <v>0</v>
      </c>
      <c r="F763" t="n">
        <v>0</v>
      </c>
      <c r="G763" t="n">
        <v>0</v>
      </c>
      <c r="H763">
        <f>AVERAGE(D15884:G15884)</f>
        <v/>
      </c>
    </row>
    <row r="764">
      <c r="A764" t="inlineStr">
        <is>
          <t>37035827</t>
        </is>
      </c>
      <c r="B764" t="inlineStr">
        <is>
          <t>PRODUCTO 6930EB</t>
        </is>
      </c>
      <c r="C764" t="inlineStr">
        <is>
          <t>Miraflores</t>
        </is>
      </c>
      <c r="D764" t="n">
        <v>0</v>
      </c>
      <c r="E764" t="n">
        <v>0</v>
      </c>
      <c r="F764" t="n">
        <v>0</v>
      </c>
      <c r="G764" t="n">
        <v>0</v>
      </c>
      <c r="H764">
        <f>AVERAGE(D15885:G15885)</f>
        <v/>
      </c>
    </row>
    <row r="765">
      <c r="A765" t="inlineStr">
        <is>
          <t>37035827</t>
        </is>
      </c>
      <c r="B765" t="inlineStr">
        <is>
          <t>PRODUCTO 6930EB</t>
        </is>
      </c>
      <c r="C765" t="inlineStr">
        <is>
          <t>Salaverry</t>
        </is>
      </c>
      <c r="D765" t="n">
        <v>1</v>
      </c>
      <c r="E765" t="n">
        <v>2</v>
      </c>
      <c r="F765" t="n">
        <v>0</v>
      </c>
      <c r="G765" t="n">
        <v>0</v>
      </c>
      <c r="H765">
        <f>AVERAGE(D15888:G15888)</f>
        <v/>
      </c>
    </row>
    <row r="766">
      <c r="A766" t="inlineStr">
        <is>
          <t>37035827</t>
        </is>
      </c>
      <c r="B766" t="inlineStr">
        <is>
          <t>PRODUCTO 6930EB</t>
        </is>
      </c>
      <c r="C766" t="inlineStr">
        <is>
          <t>Piura</t>
        </is>
      </c>
      <c r="D766" t="n">
        <v>1</v>
      </c>
      <c r="E766" t="n">
        <v>2</v>
      </c>
      <c r="F766" t="n">
        <v>0</v>
      </c>
      <c r="G766" t="n">
        <v>0</v>
      </c>
      <c r="H766">
        <f>AVERAGE(D15889:G15889)</f>
        <v/>
      </c>
    </row>
    <row r="767">
      <c r="A767" t="inlineStr">
        <is>
          <t>37035847</t>
        </is>
      </c>
      <c r="B767" t="inlineStr">
        <is>
          <t>PRODUCTO 2441B3</t>
        </is>
      </c>
      <c r="C767" t="inlineStr">
        <is>
          <t>Jockey Plaza</t>
        </is>
      </c>
      <c r="D767" t="n">
        <v>0</v>
      </c>
      <c r="E767" t="n">
        <v>0</v>
      </c>
      <c r="F767" t="n">
        <v>0</v>
      </c>
      <c r="G767" t="n">
        <v>0</v>
      </c>
      <c r="H767">
        <f>AVERAGE(D15918:G15918)</f>
        <v/>
      </c>
    </row>
    <row r="768">
      <c r="A768" t="inlineStr">
        <is>
          <t>37035847</t>
        </is>
      </c>
      <c r="B768" t="inlineStr">
        <is>
          <t>PRODUCTO 2441B3</t>
        </is>
      </c>
      <c r="C768" t="inlineStr">
        <is>
          <t>Miraflores</t>
        </is>
      </c>
      <c r="D768" t="n">
        <v>0</v>
      </c>
      <c r="E768" t="n">
        <v>0</v>
      </c>
      <c r="F768" t="n">
        <v>0</v>
      </c>
      <c r="G768" t="n">
        <v>0</v>
      </c>
      <c r="H768">
        <f>AVERAGE(D15919:G15919)</f>
        <v/>
      </c>
    </row>
    <row r="769">
      <c r="A769" t="inlineStr">
        <is>
          <t>37035847</t>
        </is>
      </c>
      <c r="B769" t="inlineStr">
        <is>
          <t>PRODUCTO 2441B3</t>
        </is>
      </c>
      <c r="C769" t="inlineStr">
        <is>
          <t>Salaverry</t>
        </is>
      </c>
      <c r="D769" t="n">
        <v>0</v>
      </c>
      <c r="E769" t="n">
        <v>0</v>
      </c>
      <c r="F769" t="n">
        <v>0</v>
      </c>
      <c r="G769" t="n">
        <v>0</v>
      </c>
      <c r="H769">
        <f>AVERAGE(D15921:G15921)</f>
        <v/>
      </c>
    </row>
    <row r="770">
      <c r="A770" t="inlineStr">
        <is>
          <t>37035847</t>
        </is>
      </c>
      <c r="B770" t="inlineStr">
        <is>
          <t>PRODUCTO 2441B3</t>
        </is>
      </c>
      <c r="C770" t="inlineStr">
        <is>
          <t>Piura</t>
        </is>
      </c>
      <c r="D770" t="n">
        <v>0</v>
      </c>
      <c r="E770" t="n">
        <v>0</v>
      </c>
      <c r="F770" t="n">
        <v>0</v>
      </c>
      <c r="G770" t="n">
        <v>0</v>
      </c>
      <c r="H770">
        <f>AVERAGE(D15922:G15922)</f>
        <v/>
      </c>
    </row>
    <row r="771">
      <c r="A771" t="inlineStr">
        <is>
          <t>37035867</t>
        </is>
      </c>
      <c r="B771" t="inlineStr">
        <is>
          <t>PRODUCTO 27A611</t>
        </is>
      </c>
      <c r="C771" t="inlineStr">
        <is>
          <t>Miraflores</t>
        </is>
      </c>
      <c r="D771" t="n">
        <v>1</v>
      </c>
      <c r="E771" t="n">
        <v>0</v>
      </c>
      <c r="F771" t="n">
        <v>1</v>
      </c>
      <c r="G771" t="n">
        <v>2</v>
      </c>
      <c r="H771">
        <f>AVERAGE(D15937:G15937)</f>
        <v/>
      </c>
    </row>
    <row r="772">
      <c r="A772" t="inlineStr">
        <is>
          <t>37035867</t>
        </is>
      </c>
      <c r="B772" t="inlineStr">
        <is>
          <t>PRODUCTO 27A611</t>
        </is>
      </c>
      <c r="C772" t="inlineStr">
        <is>
          <t>Piura</t>
        </is>
      </c>
      <c r="D772" t="n">
        <v>0</v>
      </c>
      <c r="E772" t="n">
        <v>0</v>
      </c>
      <c r="F772" t="n">
        <v>0</v>
      </c>
      <c r="G772" t="n">
        <v>0</v>
      </c>
      <c r="H772">
        <f>AVERAGE(D15938:G15938)</f>
        <v/>
      </c>
    </row>
    <row r="773">
      <c r="A773" t="inlineStr">
        <is>
          <t>37035887</t>
        </is>
      </c>
      <c r="B773" t="inlineStr">
        <is>
          <t>PRODUCTO 799EA3</t>
        </is>
      </c>
      <c r="C773" t="inlineStr">
        <is>
          <t>Jockey Plaza</t>
        </is>
      </c>
      <c r="D773" t="n">
        <v>2</v>
      </c>
      <c r="E773" t="n">
        <v>6</v>
      </c>
      <c r="F773" t="n">
        <v>1</v>
      </c>
      <c r="G773" t="n">
        <v>0</v>
      </c>
      <c r="H773">
        <f>AVERAGE(D15957:G15957)</f>
        <v/>
      </c>
    </row>
    <row r="774">
      <c r="A774" t="inlineStr">
        <is>
          <t>37035887</t>
        </is>
      </c>
      <c r="B774" t="inlineStr">
        <is>
          <t>PRODUCTO 799EA3</t>
        </is>
      </c>
      <c r="C774" t="inlineStr">
        <is>
          <t>San Miguel</t>
        </is>
      </c>
      <c r="D774" t="n">
        <v>-1</v>
      </c>
      <c r="E774" t="n">
        <v>-3</v>
      </c>
      <c r="F774" t="n">
        <v>-1</v>
      </c>
      <c r="G774" t="n">
        <v>0</v>
      </c>
      <c r="H774">
        <f>AVERAGE(D15958:G15958)</f>
        <v/>
      </c>
    </row>
    <row r="775">
      <c r="A775" t="inlineStr">
        <is>
          <t>37035887</t>
        </is>
      </c>
      <c r="B775" t="inlineStr">
        <is>
          <t>PRODUCTO 799EA3</t>
        </is>
      </c>
      <c r="C775" t="inlineStr">
        <is>
          <t>Miraflores</t>
        </is>
      </c>
      <c r="D775" t="n">
        <v>1</v>
      </c>
      <c r="E775" t="n">
        <v>3</v>
      </c>
      <c r="F775" t="n">
        <v>1</v>
      </c>
      <c r="G775" t="n">
        <v>0</v>
      </c>
      <c r="H775">
        <f>AVERAGE(D15959:G15959)</f>
        <v/>
      </c>
    </row>
    <row r="776">
      <c r="A776" t="inlineStr">
        <is>
          <t>37035887</t>
        </is>
      </c>
      <c r="B776" t="inlineStr">
        <is>
          <t>PRODUCTO 799EA3</t>
        </is>
      </c>
      <c r="C776" t="inlineStr">
        <is>
          <t>Salaverry</t>
        </is>
      </c>
      <c r="D776" t="n">
        <v>0</v>
      </c>
      <c r="E776" t="n">
        <v>0</v>
      </c>
      <c r="F776" t="n">
        <v>0</v>
      </c>
      <c r="G776" t="n">
        <v>0</v>
      </c>
      <c r="H776">
        <f>AVERAGE(D15961:G15961)</f>
        <v/>
      </c>
    </row>
    <row r="777">
      <c r="A777" t="inlineStr">
        <is>
          <t>37067304</t>
        </is>
      </c>
      <c r="B777" t="inlineStr">
        <is>
          <t>PRODUCTO C2124A</t>
        </is>
      </c>
      <c r="C777" t="inlineStr">
        <is>
          <t>Miraflores</t>
        </is>
      </c>
      <c r="D777" t="n">
        <v>0</v>
      </c>
      <c r="E777" t="n">
        <v>0</v>
      </c>
      <c r="F777" t="n">
        <v>0</v>
      </c>
      <c r="G777" t="n">
        <v>0</v>
      </c>
      <c r="H777">
        <f>AVERAGE(D16005:G16005)</f>
        <v/>
      </c>
    </row>
    <row r="778">
      <c r="A778" t="inlineStr">
        <is>
          <t>37067304</t>
        </is>
      </c>
      <c r="B778" t="inlineStr">
        <is>
          <t>PRODUCTO C2124A</t>
        </is>
      </c>
      <c r="C778" t="inlineStr">
        <is>
          <t>Salaverry</t>
        </is>
      </c>
      <c r="D778" t="n">
        <v>0</v>
      </c>
      <c r="E778" t="n">
        <v>0</v>
      </c>
      <c r="F778" t="n">
        <v>0</v>
      </c>
      <c r="G778" t="n">
        <v>0</v>
      </c>
      <c r="H778">
        <f>AVERAGE(D16007:G16007)</f>
        <v/>
      </c>
    </row>
    <row r="779">
      <c r="A779" t="inlineStr">
        <is>
          <t>37067304</t>
        </is>
      </c>
      <c r="B779" t="inlineStr">
        <is>
          <t>PRODUCTO C2124A</t>
        </is>
      </c>
      <c r="C779" t="inlineStr">
        <is>
          <t>San Borja</t>
        </is>
      </c>
      <c r="D779" t="n">
        <v>0</v>
      </c>
      <c r="E779" t="n">
        <v>0</v>
      </c>
      <c r="F779" t="n">
        <v>0</v>
      </c>
      <c r="G779" t="n">
        <v>0</v>
      </c>
      <c r="H779">
        <f>AVERAGE(D16008:G16008)</f>
        <v/>
      </c>
    </row>
    <row r="780">
      <c r="A780" t="inlineStr">
        <is>
          <t>37067309</t>
        </is>
      </c>
      <c r="B780" t="inlineStr">
        <is>
          <t>PRODUCTO 24610B</t>
        </is>
      </c>
      <c r="C780" t="inlineStr">
        <is>
          <t>Jockey Plaza</t>
        </is>
      </c>
      <c r="D780" t="n">
        <v>0</v>
      </c>
      <c r="E780" t="n">
        <v>0</v>
      </c>
      <c r="F780" t="n">
        <v>0</v>
      </c>
      <c r="G780" t="n">
        <v>0</v>
      </c>
      <c r="H780">
        <f>AVERAGE(D16012:G16012)</f>
        <v/>
      </c>
    </row>
    <row r="781">
      <c r="A781" t="inlineStr">
        <is>
          <t>37067309</t>
        </is>
      </c>
      <c r="B781" t="inlineStr">
        <is>
          <t>PRODUCTO 24610B</t>
        </is>
      </c>
      <c r="C781" t="inlineStr">
        <is>
          <t>San Miguel</t>
        </is>
      </c>
      <c r="D781" t="n">
        <v>3</v>
      </c>
      <c r="E781" t="n">
        <v>2</v>
      </c>
      <c r="F781" t="n">
        <v>3</v>
      </c>
      <c r="G781" t="n">
        <v>5</v>
      </c>
      <c r="H781">
        <f>AVERAGE(D16013:G16013)</f>
        <v/>
      </c>
    </row>
    <row r="782">
      <c r="A782" t="inlineStr">
        <is>
          <t>37067309</t>
        </is>
      </c>
      <c r="B782" t="inlineStr">
        <is>
          <t>PRODUCTO 24610B</t>
        </is>
      </c>
      <c r="C782" t="inlineStr">
        <is>
          <t>Miraflores</t>
        </is>
      </c>
      <c r="D782" t="n">
        <v>0</v>
      </c>
      <c r="E782" t="n">
        <v>0</v>
      </c>
      <c r="F782" t="n">
        <v>0</v>
      </c>
      <c r="G782" t="n">
        <v>0</v>
      </c>
      <c r="H782">
        <f>AVERAGE(D16014:G16014)</f>
        <v/>
      </c>
    </row>
    <row r="783">
      <c r="A783" t="inlineStr">
        <is>
          <t>37067309</t>
        </is>
      </c>
      <c r="B783" t="inlineStr">
        <is>
          <t>PRODUCTO 24610B</t>
        </is>
      </c>
      <c r="C783" t="inlineStr">
        <is>
          <t>Salaverry</t>
        </is>
      </c>
      <c r="D783" t="n">
        <v>2</v>
      </c>
      <c r="E783" t="n">
        <v>1</v>
      </c>
      <c r="F783" t="n">
        <v>2</v>
      </c>
      <c r="G783" t="n">
        <v>3</v>
      </c>
      <c r="H783">
        <f>AVERAGE(D16017:G16017)</f>
        <v/>
      </c>
    </row>
    <row r="784">
      <c r="A784" t="inlineStr">
        <is>
          <t>37092694</t>
        </is>
      </c>
      <c r="B784" t="inlineStr">
        <is>
          <t>PRODUCTO D7AF5C</t>
        </is>
      </c>
      <c r="C784" t="inlineStr">
        <is>
          <t>Jockey Plaza</t>
        </is>
      </c>
      <c r="D784" t="n">
        <v>2</v>
      </c>
      <c r="E784" t="n">
        <v>1</v>
      </c>
      <c r="F784" t="n">
        <v>1</v>
      </c>
      <c r="G784" t="n">
        <v>2</v>
      </c>
      <c r="H784">
        <f>AVERAGE(D16047:G16047)</f>
        <v/>
      </c>
    </row>
    <row r="785">
      <c r="A785" t="inlineStr">
        <is>
          <t>37092694</t>
        </is>
      </c>
      <c r="B785" t="inlineStr">
        <is>
          <t>PRODUCTO D7AF5C</t>
        </is>
      </c>
      <c r="C785" t="inlineStr">
        <is>
          <t>San Miguel</t>
        </is>
      </c>
      <c r="D785" t="n">
        <v>0</v>
      </c>
      <c r="E785" t="n">
        <v>0</v>
      </c>
      <c r="F785" t="n">
        <v>0</v>
      </c>
      <c r="G785" t="n">
        <v>0</v>
      </c>
      <c r="H785">
        <f>AVERAGE(D16048:G16048)</f>
        <v/>
      </c>
    </row>
    <row r="786">
      <c r="A786" t="inlineStr">
        <is>
          <t>37092694</t>
        </is>
      </c>
      <c r="B786" t="inlineStr">
        <is>
          <t>PRODUCTO D7AF5C</t>
        </is>
      </c>
      <c r="C786" t="inlineStr">
        <is>
          <t>Miraflores</t>
        </is>
      </c>
      <c r="D786" t="n">
        <v>0</v>
      </c>
      <c r="E786" t="n">
        <v>0</v>
      </c>
      <c r="F786" t="n">
        <v>0</v>
      </c>
      <c r="G786" t="n">
        <v>0</v>
      </c>
      <c r="H786">
        <f>AVERAGE(D16049:G16049)</f>
        <v/>
      </c>
    </row>
    <row r="787">
      <c r="A787" t="inlineStr">
        <is>
          <t>37092694</t>
        </is>
      </c>
      <c r="B787" t="inlineStr">
        <is>
          <t>PRODUCTO D7AF5C</t>
        </is>
      </c>
      <c r="C787" t="inlineStr">
        <is>
          <t>Salaverry</t>
        </is>
      </c>
      <c r="D787" t="n">
        <v>0</v>
      </c>
      <c r="E787" t="n">
        <v>0</v>
      </c>
      <c r="F787" t="n">
        <v>0</v>
      </c>
      <c r="G787" t="n">
        <v>0</v>
      </c>
      <c r="H787">
        <f>AVERAGE(D16053:G16053)</f>
        <v/>
      </c>
    </row>
    <row r="788">
      <c r="A788" t="inlineStr">
        <is>
          <t>37092694</t>
        </is>
      </c>
      <c r="B788" t="inlineStr">
        <is>
          <t>PRODUCTO D7AF5C</t>
        </is>
      </c>
      <c r="C788" t="inlineStr">
        <is>
          <t>San Borja</t>
        </is>
      </c>
      <c r="D788" t="n">
        <v>1</v>
      </c>
      <c r="E788" t="n">
        <v>1</v>
      </c>
      <c r="F788" t="n">
        <v>1</v>
      </c>
      <c r="G788" t="n">
        <v>1</v>
      </c>
      <c r="H788">
        <f>AVERAGE(D16054:G16054)</f>
        <v/>
      </c>
    </row>
    <row r="789">
      <c r="A789" t="inlineStr">
        <is>
          <t>37092694</t>
        </is>
      </c>
      <c r="B789" t="inlineStr">
        <is>
          <t>PRODUCTO D7AF5C</t>
        </is>
      </c>
      <c r="C789" t="inlineStr">
        <is>
          <t>Piura</t>
        </is>
      </c>
      <c r="D789" t="n">
        <v>0</v>
      </c>
      <c r="E789" t="n">
        <v>0</v>
      </c>
      <c r="F789" t="n">
        <v>0</v>
      </c>
      <c r="G789" t="n">
        <v>0</v>
      </c>
      <c r="H789">
        <f>AVERAGE(D16056:G16056)</f>
        <v/>
      </c>
    </row>
    <row r="790">
      <c r="A790" t="inlineStr">
        <is>
          <t>37092815</t>
        </is>
      </c>
      <c r="B790" t="inlineStr">
        <is>
          <t>PRODUCTO 0245A1</t>
        </is>
      </c>
      <c r="C790" t="inlineStr">
        <is>
          <t>Jockey Plaza</t>
        </is>
      </c>
      <c r="D790" t="n">
        <v>0</v>
      </c>
      <c r="E790" t="n">
        <v>0</v>
      </c>
      <c r="F790" t="n">
        <v>0</v>
      </c>
      <c r="G790" t="n">
        <v>0</v>
      </c>
      <c r="H790">
        <f>AVERAGE(D16223:G16223)</f>
        <v/>
      </c>
    </row>
    <row r="791">
      <c r="A791" t="inlineStr">
        <is>
          <t>37092815</t>
        </is>
      </c>
      <c r="B791" t="inlineStr">
        <is>
          <t>PRODUCTO 0245A1</t>
        </is>
      </c>
      <c r="C791" t="inlineStr">
        <is>
          <t>San Miguel</t>
        </is>
      </c>
      <c r="D791" t="n">
        <v>1</v>
      </c>
      <c r="E791" t="n">
        <v>1</v>
      </c>
      <c r="F791" t="n">
        <v>1</v>
      </c>
      <c r="G791" t="n">
        <v>2</v>
      </c>
      <c r="H791">
        <f>AVERAGE(D16224:G16224)</f>
        <v/>
      </c>
    </row>
    <row r="792">
      <c r="A792" t="inlineStr">
        <is>
          <t>37092815</t>
        </is>
      </c>
      <c r="B792" t="inlineStr">
        <is>
          <t>PRODUCTO 0245A1</t>
        </is>
      </c>
      <c r="C792" t="inlineStr">
        <is>
          <t>Miraflores</t>
        </is>
      </c>
      <c r="D792" t="n">
        <v>0</v>
      </c>
      <c r="E792" t="n">
        <v>0</v>
      </c>
      <c r="F792" t="n">
        <v>0</v>
      </c>
      <c r="G792" t="n">
        <v>0</v>
      </c>
      <c r="H792">
        <f>AVERAGE(D16225:G16225)</f>
        <v/>
      </c>
    </row>
    <row r="793">
      <c r="A793" t="inlineStr">
        <is>
          <t>37092815</t>
        </is>
      </c>
      <c r="B793" t="inlineStr">
        <is>
          <t>PRODUCTO 0245A1</t>
        </is>
      </c>
      <c r="C793" t="inlineStr">
        <is>
          <t>Salaverry</t>
        </is>
      </c>
      <c r="D793" t="n">
        <v>0</v>
      </c>
      <c r="E793" t="n">
        <v>0</v>
      </c>
      <c r="F793" t="n">
        <v>0</v>
      </c>
      <c r="G793" t="n">
        <v>0</v>
      </c>
      <c r="H793">
        <f>AVERAGE(D16231:G16231)</f>
        <v/>
      </c>
    </row>
    <row r="794">
      <c r="A794" t="inlineStr">
        <is>
          <t>37092815</t>
        </is>
      </c>
      <c r="B794" t="inlineStr">
        <is>
          <t>PRODUCTO 0245A1</t>
        </is>
      </c>
      <c r="C794" t="inlineStr">
        <is>
          <t>San Borja</t>
        </is>
      </c>
      <c r="D794" t="n">
        <v>1</v>
      </c>
      <c r="E794" t="n">
        <v>1</v>
      </c>
      <c r="F794" t="n">
        <v>1</v>
      </c>
      <c r="G794" t="n">
        <v>2</v>
      </c>
      <c r="H794">
        <f>AVERAGE(D16232:G16232)</f>
        <v/>
      </c>
    </row>
    <row r="795">
      <c r="A795" t="inlineStr">
        <is>
          <t>37092815</t>
        </is>
      </c>
      <c r="B795" t="inlineStr">
        <is>
          <t>PRODUCTO 0245A1</t>
        </is>
      </c>
      <c r="C795" t="inlineStr">
        <is>
          <t>Piura</t>
        </is>
      </c>
      <c r="D795" t="n">
        <v>0</v>
      </c>
      <c r="E795" t="n">
        <v>0</v>
      </c>
      <c r="F795" t="n">
        <v>0</v>
      </c>
      <c r="G795" t="n">
        <v>0</v>
      </c>
      <c r="H795">
        <f>AVERAGE(D16234:G16234)</f>
        <v/>
      </c>
    </row>
    <row r="796">
      <c r="A796" t="inlineStr">
        <is>
          <t>37218777</t>
        </is>
      </c>
      <c r="B796" t="inlineStr">
        <is>
          <t>PRODUCTO 5B1C5A</t>
        </is>
      </c>
      <c r="C796" t="inlineStr">
        <is>
          <t>Jockey Plaza</t>
        </is>
      </c>
      <c r="D796" t="n">
        <v>1</v>
      </c>
      <c r="E796" t="n">
        <v>0</v>
      </c>
      <c r="F796" t="n">
        <v>1</v>
      </c>
      <c r="G796" t="n">
        <v>1</v>
      </c>
      <c r="H796">
        <f>AVERAGE(D16431:G16431)</f>
        <v/>
      </c>
    </row>
    <row r="797">
      <c r="A797" t="inlineStr">
        <is>
          <t>37218777</t>
        </is>
      </c>
      <c r="B797" t="inlineStr">
        <is>
          <t>PRODUCTO 5B1C5A</t>
        </is>
      </c>
      <c r="C797" t="inlineStr">
        <is>
          <t>San Miguel</t>
        </is>
      </c>
      <c r="D797" t="n">
        <v>0</v>
      </c>
      <c r="E797" t="n">
        <v>0</v>
      </c>
      <c r="F797" t="n">
        <v>0</v>
      </c>
      <c r="G797" t="n">
        <v>0</v>
      </c>
      <c r="H797">
        <f>AVERAGE(D16432:G16432)</f>
        <v/>
      </c>
    </row>
    <row r="798">
      <c r="A798" t="inlineStr">
        <is>
          <t>37218777</t>
        </is>
      </c>
      <c r="B798" t="inlineStr">
        <is>
          <t>PRODUCTO 5B1C5A</t>
        </is>
      </c>
      <c r="C798" t="inlineStr">
        <is>
          <t>Miraflores</t>
        </is>
      </c>
      <c r="D798" t="n">
        <v>2</v>
      </c>
      <c r="E798" t="n">
        <v>0</v>
      </c>
      <c r="F798" t="n">
        <v>1</v>
      </c>
      <c r="G798" t="n">
        <v>2</v>
      </c>
      <c r="H798">
        <f>AVERAGE(D16433:G16433)</f>
        <v/>
      </c>
    </row>
    <row r="799">
      <c r="A799" t="inlineStr">
        <is>
          <t>37218777</t>
        </is>
      </c>
      <c r="B799" t="inlineStr">
        <is>
          <t>PRODUCTO 5B1C5A</t>
        </is>
      </c>
      <c r="C799" t="inlineStr">
        <is>
          <t>Salaverry</t>
        </is>
      </c>
      <c r="D799" t="n">
        <v>0</v>
      </c>
      <c r="E799" t="n">
        <v>0</v>
      </c>
      <c r="F799" t="n">
        <v>0</v>
      </c>
      <c r="G799" t="n">
        <v>0</v>
      </c>
      <c r="H799">
        <f>AVERAGE(D16436:G16436)</f>
        <v/>
      </c>
    </row>
    <row r="800">
      <c r="A800" t="inlineStr">
        <is>
          <t>37218777</t>
        </is>
      </c>
      <c r="B800" t="inlineStr">
        <is>
          <t>PRODUCTO 5B1C5A</t>
        </is>
      </c>
      <c r="C800" t="inlineStr">
        <is>
          <t>Piura</t>
        </is>
      </c>
      <c r="D800" t="n">
        <v>2</v>
      </c>
      <c r="E800" t="n">
        <v>0</v>
      </c>
      <c r="F800" t="n">
        <v>1</v>
      </c>
      <c r="G800" t="n">
        <v>2</v>
      </c>
      <c r="H800">
        <f>AVERAGE(D16437:G16437)</f>
        <v/>
      </c>
    </row>
    <row r="801">
      <c r="A801" t="inlineStr">
        <is>
          <t>37345867</t>
        </is>
      </c>
      <c r="B801" t="inlineStr">
        <is>
          <t>PRODUCTO D7B48F</t>
        </is>
      </c>
      <c r="C801" t="inlineStr">
        <is>
          <t>Jockey Plaza</t>
        </is>
      </c>
      <c r="D801" t="n">
        <v>1</v>
      </c>
      <c r="E801" t="n">
        <v>0</v>
      </c>
      <c r="F801" t="n">
        <v>2</v>
      </c>
      <c r="G801" t="n">
        <v>1</v>
      </c>
      <c r="H801">
        <f>AVERAGE(D16618:G16618)</f>
        <v/>
      </c>
    </row>
    <row r="802">
      <c r="A802" t="inlineStr">
        <is>
          <t>37345867</t>
        </is>
      </c>
      <c r="B802" t="inlineStr">
        <is>
          <t>PRODUCTO D7B48F</t>
        </is>
      </c>
      <c r="C802" t="inlineStr">
        <is>
          <t>San Miguel</t>
        </is>
      </c>
      <c r="D802" t="n">
        <v>2</v>
      </c>
      <c r="E802" t="n">
        <v>0</v>
      </c>
      <c r="F802" t="n">
        <v>3</v>
      </c>
      <c r="G802" t="n">
        <v>2</v>
      </c>
      <c r="H802">
        <f>AVERAGE(D16619:G16619)</f>
        <v/>
      </c>
    </row>
    <row r="803">
      <c r="A803" t="inlineStr">
        <is>
          <t>37345867</t>
        </is>
      </c>
      <c r="B803" t="inlineStr">
        <is>
          <t>PRODUCTO D7B48F</t>
        </is>
      </c>
      <c r="C803" t="inlineStr">
        <is>
          <t>Miraflores</t>
        </is>
      </c>
      <c r="D803" t="n">
        <v>0</v>
      </c>
      <c r="E803" t="n">
        <v>0</v>
      </c>
      <c r="F803" t="n">
        <v>0</v>
      </c>
      <c r="G803" t="n">
        <v>0</v>
      </c>
      <c r="H803">
        <f>AVERAGE(D16620:G16620)</f>
        <v/>
      </c>
    </row>
    <row r="804">
      <c r="A804" t="inlineStr">
        <is>
          <t>37345867</t>
        </is>
      </c>
      <c r="B804" t="inlineStr">
        <is>
          <t>PRODUCTO D7B48F</t>
        </is>
      </c>
      <c r="C804" t="inlineStr">
        <is>
          <t>Salaverry</t>
        </is>
      </c>
      <c r="D804" t="n">
        <v>1</v>
      </c>
      <c r="E804" t="n">
        <v>0</v>
      </c>
      <c r="F804" t="n">
        <v>2</v>
      </c>
      <c r="G804" t="n">
        <v>1</v>
      </c>
      <c r="H804">
        <f>AVERAGE(D16625:G16625)</f>
        <v/>
      </c>
    </row>
    <row r="805">
      <c r="A805" t="inlineStr">
        <is>
          <t>37345867</t>
        </is>
      </c>
      <c r="B805" t="inlineStr">
        <is>
          <t>PRODUCTO D7B48F</t>
        </is>
      </c>
      <c r="C805" t="inlineStr">
        <is>
          <t>San Borja</t>
        </is>
      </c>
      <c r="D805" t="n">
        <v>2</v>
      </c>
      <c r="E805" t="n">
        <v>0</v>
      </c>
      <c r="F805" t="n">
        <v>3</v>
      </c>
      <c r="G805" t="n">
        <v>2</v>
      </c>
      <c r="H805">
        <f>AVERAGE(D16626:G16626)</f>
        <v/>
      </c>
    </row>
    <row r="806">
      <c r="A806" t="inlineStr">
        <is>
          <t>37345878</t>
        </is>
      </c>
      <c r="B806" t="inlineStr">
        <is>
          <t>PRODUCTO A380E2</t>
        </is>
      </c>
      <c r="C806" t="inlineStr">
        <is>
          <t>Jockey Plaza</t>
        </is>
      </c>
      <c r="D806" t="n">
        <v>2</v>
      </c>
      <c r="E806" t="n">
        <v>2</v>
      </c>
      <c r="F806" t="n">
        <v>3</v>
      </c>
      <c r="G806" t="n">
        <v>2</v>
      </c>
      <c r="H806">
        <f>AVERAGE(D16631:G16631)</f>
        <v/>
      </c>
    </row>
    <row r="807">
      <c r="A807" t="inlineStr">
        <is>
          <t>37345878</t>
        </is>
      </c>
      <c r="B807" t="inlineStr">
        <is>
          <t>PRODUCTO A380E2</t>
        </is>
      </c>
      <c r="C807" t="inlineStr">
        <is>
          <t>San Miguel</t>
        </is>
      </c>
      <c r="D807" t="n">
        <v>1</v>
      </c>
      <c r="E807" t="n">
        <v>1</v>
      </c>
      <c r="F807" t="n">
        <v>1</v>
      </c>
      <c r="G807" t="n">
        <v>1</v>
      </c>
      <c r="H807">
        <f>AVERAGE(D16632:G16632)</f>
        <v/>
      </c>
    </row>
    <row r="808">
      <c r="A808" t="inlineStr">
        <is>
          <t>37345878</t>
        </is>
      </c>
      <c r="B808" t="inlineStr">
        <is>
          <t>PRODUCTO A380E2</t>
        </is>
      </c>
      <c r="C808" t="inlineStr">
        <is>
          <t>Miraflores</t>
        </is>
      </c>
      <c r="D808" t="n">
        <v>0</v>
      </c>
      <c r="E808" t="n">
        <v>0</v>
      </c>
      <c r="F808" t="n">
        <v>0</v>
      </c>
      <c r="G808" t="n">
        <v>0</v>
      </c>
      <c r="H808">
        <f>AVERAGE(D16633:G16633)</f>
        <v/>
      </c>
    </row>
    <row r="809">
      <c r="A809" t="inlineStr">
        <is>
          <t>37345878</t>
        </is>
      </c>
      <c r="B809" t="inlineStr">
        <is>
          <t>PRODUCTO A380E2</t>
        </is>
      </c>
      <c r="C809" t="inlineStr">
        <is>
          <t>Salaverry</t>
        </is>
      </c>
      <c r="D809" t="n">
        <v>0</v>
      </c>
      <c r="E809" t="n">
        <v>0</v>
      </c>
      <c r="F809" t="n">
        <v>0</v>
      </c>
      <c r="G809" t="n">
        <v>0</v>
      </c>
      <c r="H809">
        <f>AVERAGE(D16638:G16638)</f>
        <v/>
      </c>
    </row>
    <row r="810">
      <c r="A810" t="inlineStr">
        <is>
          <t>37345878</t>
        </is>
      </c>
      <c r="B810" t="inlineStr">
        <is>
          <t>PRODUCTO A380E2</t>
        </is>
      </c>
      <c r="C810" t="inlineStr">
        <is>
          <t>San Borja</t>
        </is>
      </c>
      <c r="D810" t="n">
        <v>3</v>
      </c>
      <c r="E810" t="n">
        <v>3</v>
      </c>
      <c r="F810" t="n">
        <v>4</v>
      </c>
      <c r="G810" t="n">
        <v>3</v>
      </c>
      <c r="H810">
        <f>AVERAGE(D16639:G16639)</f>
        <v/>
      </c>
    </row>
    <row r="811">
      <c r="A811" t="inlineStr">
        <is>
          <t>37400985</t>
        </is>
      </c>
      <c r="B811" t="inlineStr">
        <is>
          <t>PRODUCTO 2E9207</t>
        </is>
      </c>
      <c r="C811" t="inlineStr">
        <is>
          <t>Jockey Plaza</t>
        </is>
      </c>
      <c r="D811" t="n">
        <v>0</v>
      </c>
      <c r="E811" t="n">
        <v>0</v>
      </c>
      <c r="F811" t="n">
        <v>0</v>
      </c>
      <c r="G811" t="n">
        <v>0</v>
      </c>
      <c r="H811">
        <f>AVERAGE(D16876:G16876)</f>
        <v/>
      </c>
    </row>
    <row r="812">
      <c r="A812" t="inlineStr">
        <is>
          <t>37400985</t>
        </is>
      </c>
      <c r="B812" t="inlineStr">
        <is>
          <t>PRODUCTO 2E9207</t>
        </is>
      </c>
      <c r="C812" t="inlineStr">
        <is>
          <t>San Miguel</t>
        </is>
      </c>
      <c r="D812" t="n">
        <v>0</v>
      </c>
      <c r="E812" t="n">
        <v>0</v>
      </c>
      <c r="F812" t="n">
        <v>0</v>
      </c>
      <c r="G812" t="n">
        <v>0</v>
      </c>
      <c r="H812">
        <f>AVERAGE(D16877:G16877)</f>
        <v/>
      </c>
    </row>
    <row r="813">
      <c r="A813" t="inlineStr">
        <is>
          <t>37400985</t>
        </is>
      </c>
      <c r="B813" t="inlineStr">
        <is>
          <t>PRODUCTO 2E9207</t>
        </is>
      </c>
      <c r="C813" t="inlineStr">
        <is>
          <t>Miraflores</t>
        </is>
      </c>
      <c r="D813" t="n">
        <v>0</v>
      </c>
      <c r="E813" t="n">
        <v>0</v>
      </c>
      <c r="F813" t="n">
        <v>0</v>
      </c>
      <c r="G813" t="n">
        <v>0</v>
      </c>
      <c r="H813">
        <f>AVERAGE(D16878:G16878)</f>
        <v/>
      </c>
    </row>
    <row r="814">
      <c r="A814" t="inlineStr">
        <is>
          <t>37400985</t>
        </is>
      </c>
      <c r="B814" t="inlineStr">
        <is>
          <t>PRODUCTO 2E9207</t>
        </is>
      </c>
      <c r="C814" t="inlineStr">
        <is>
          <t>Salaverry</t>
        </is>
      </c>
      <c r="D814" t="n">
        <v>0</v>
      </c>
      <c r="E814" t="n">
        <v>0</v>
      </c>
      <c r="F814" t="n">
        <v>0</v>
      </c>
      <c r="G814" t="n">
        <v>0</v>
      </c>
      <c r="H814">
        <f>AVERAGE(D16882:G16882)</f>
        <v/>
      </c>
    </row>
    <row r="815">
      <c r="A815" t="inlineStr">
        <is>
          <t>37400985</t>
        </is>
      </c>
      <c r="B815" t="inlineStr">
        <is>
          <t>PRODUCTO 2E9207</t>
        </is>
      </c>
      <c r="C815" t="inlineStr">
        <is>
          <t>San Borja</t>
        </is>
      </c>
      <c r="D815" t="n">
        <v>0</v>
      </c>
      <c r="E815" t="n">
        <v>0</v>
      </c>
      <c r="F815" t="n">
        <v>0</v>
      </c>
      <c r="G815" t="n">
        <v>0</v>
      </c>
      <c r="H815">
        <f>AVERAGE(D16883:G16883)</f>
        <v/>
      </c>
    </row>
    <row r="816">
      <c r="A816" t="inlineStr">
        <is>
          <t>37400985</t>
        </is>
      </c>
      <c r="B816" t="inlineStr">
        <is>
          <t>PRODUCTO 2E9207</t>
        </is>
      </c>
      <c r="C816" t="inlineStr">
        <is>
          <t>Piura</t>
        </is>
      </c>
      <c r="D816" t="n">
        <v>0</v>
      </c>
      <c r="E816" t="n">
        <v>0</v>
      </c>
      <c r="F816" t="n">
        <v>0</v>
      </c>
      <c r="G816" t="n">
        <v>0</v>
      </c>
      <c r="H816">
        <f>AVERAGE(D16885:G16885)</f>
        <v/>
      </c>
    </row>
    <row r="817">
      <c r="A817" t="inlineStr">
        <is>
          <t>37401031</t>
        </is>
      </c>
      <c r="B817" t="inlineStr">
        <is>
          <t>PRODUCTO 9D7497</t>
        </is>
      </c>
      <c r="C817" t="inlineStr">
        <is>
          <t>Jockey Plaza</t>
        </is>
      </c>
      <c r="D817" t="n">
        <v>0</v>
      </c>
      <c r="E817" t="n">
        <v>0</v>
      </c>
      <c r="F817" t="n">
        <v>0</v>
      </c>
      <c r="G817" t="n">
        <v>0</v>
      </c>
      <c r="H817">
        <f>AVERAGE(D16989:G16989)</f>
        <v/>
      </c>
    </row>
    <row r="818">
      <c r="A818" t="inlineStr">
        <is>
          <t>37401031</t>
        </is>
      </c>
      <c r="B818" t="inlineStr">
        <is>
          <t>PRODUCTO 9D7497</t>
        </is>
      </c>
      <c r="C818" t="inlineStr">
        <is>
          <t>San Miguel</t>
        </is>
      </c>
      <c r="D818" t="n">
        <v>0</v>
      </c>
      <c r="E818" t="n">
        <v>0</v>
      </c>
      <c r="F818" t="n">
        <v>0</v>
      </c>
      <c r="G818" t="n">
        <v>0</v>
      </c>
      <c r="H818">
        <f>AVERAGE(D16990:G16990)</f>
        <v/>
      </c>
    </row>
    <row r="819">
      <c r="A819" t="inlineStr">
        <is>
          <t>37401031</t>
        </is>
      </c>
      <c r="B819" t="inlineStr">
        <is>
          <t>PRODUCTO 9D7497</t>
        </is>
      </c>
      <c r="C819" t="inlineStr">
        <is>
          <t>Miraflores</t>
        </is>
      </c>
      <c r="D819" t="n">
        <v>0</v>
      </c>
      <c r="E819" t="n">
        <v>0</v>
      </c>
      <c r="F819" t="n">
        <v>0</v>
      </c>
      <c r="G819" t="n">
        <v>0</v>
      </c>
      <c r="H819">
        <f>AVERAGE(D16991:G16991)</f>
        <v/>
      </c>
    </row>
    <row r="820">
      <c r="A820" t="inlineStr">
        <is>
          <t>37401031</t>
        </is>
      </c>
      <c r="B820" t="inlineStr">
        <is>
          <t>PRODUCTO 9D7497</t>
        </is>
      </c>
      <c r="C820" t="inlineStr">
        <is>
          <t>Salaverry</t>
        </is>
      </c>
      <c r="D820" t="n">
        <v>0</v>
      </c>
      <c r="E820" t="n">
        <v>0</v>
      </c>
      <c r="F820" t="n">
        <v>0</v>
      </c>
      <c r="G820" t="n">
        <v>0</v>
      </c>
      <c r="H820">
        <f>AVERAGE(D16995:G16995)</f>
        <v/>
      </c>
    </row>
    <row r="821">
      <c r="A821" t="inlineStr">
        <is>
          <t>37401031</t>
        </is>
      </c>
      <c r="B821" t="inlineStr">
        <is>
          <t>PRODUCTO 9D7497</t>
        </is>
      </c>
      <c r="C821" t="inlineStr">
        <is>
          <t>San Borja</t>
        </is>
      </c>
      <c r="D821" t="n">
        <v>0</v>
      </c>
      <c r="E821" t="n">
        <v>0</v>
      </c>
      <c r="F821" t="n">
        <v>0</v>
      </c>
      <c r="G821" t="n">
        <v>0</v>
      </c>
      <c r="H821">
        <f>AVERAGE(D16996:G16996)</f>
        <v/>
      </c>
    </row>
    <row r="822">
      <c r="A822" t="inlineStr">
        <is>
          <t>37401031</t>
        </is>
      </c>
      <c r="B822" t="inlineStr">
        <is>
          <t>PRODUCTO 9D7497</t>
        </is>
      </c>
      <c r="C822" t="inlineStr">
        <is>
          <t>Piura</t>
        </is>
      </c>
      <c r="D822" t="n">
        <v>1</v>
      </c>
      <c r="E822" t="n">
        <v>1</v>
      </c>
      <c r="F822" t="n">
        <v>2</v>
      </c>
      <c r="G822" t="n">
        <v>0</v>
      </c>
      <c r="H822">
        <f>AVERAGE(D16998:G16998)</f>
        <v/>
      </c>
    </row>
    <row r="823">
      <c r="A823" t="inlineStr">
        <is>
          <t>37404121</t>
        </is>
      </c>
      <c r="B823" t="inlineStr">
        <is>
          <t>PRODUCTO 0FEE04</t>
        </is>
      </c>
      <c r="C823" t="inlineStr">
        <is>
          <t>Jockey Plaza</t>
        </is>
      </c>
      <c r="D823" t="n">
        <v>0</v>
      </c>
      <c r="E823" t="n">
        <v>0</v>
      </c>
      <c r="F823" t="n">
        <v>0</v>
      </c>
      <c r="G823" t="n">
        <v>0</v>
      </c>
      <c r="H823">
        <f>AVERAGE(D17097:G17097)</f>
        <v/>
      </c>
    </row>
    <row r="824">
      <c r="A824" t="inlineStr">
        <is>
          <t>37404121</t>
        </is>
      </c>
      <c r="B824" t="inlineStr">
        <is>
          <t>PRODUCTO 0FEE04</t>
        </is>
      </c>
      <c r="C824" t="inlineStr">
        <is>
          <t>San Miguel</t>
        </is>
      </c>
      <c r="D824" t="n">
        <v>0</v>
      </c>
      <c r="E824" t="n">
        <v>0</v>
      </c>
      <c r="F824" t="n">
        <v>0</v>
      </c>
      <c r="G824" t="n">
        <v>0</v>
      </c>
      <c r="H824">
        <f>AVERAGE(D17098:G17098)</f>
        <v/>
      </c>
    </row>
    <row r="825">
      <c r="A825" t="inlineStr">
        <is>
          <t>37404121</t>
        </is>
      </c>
      <c r="B825" t="inlineStr">
        <is>
          <t>PRODUCTO 0FEE04</t>
        </is>
      </c>
      <c r="C825" t="inlineStr">
        <is>
          <t>Miraflores</t>
        </is>
      </c>
      <c r="D825" t="n">
        <v>0</v>
      </c>
      <c r="E825" t="n">
        <v>0</v>
      </c>
      <c r="F825" t="n">
        <v>0</v>
      </c>
      <c r="G825" t="n">
        <v>0</v>
      </c>
      <c r="H825">
        <f>AVERAGE(D17099:G17099)</f>
        <v/>
      </c>
    </row>
    <row r="826">
      <c r="A826" t="inlineStr">
        <is>
          <t>37404121</t>
        </is>
      </c>
      <c r="B826" t="inlineStr">
        <is>
          <t>PRODUCTO 0FEE04</t>
        </is>
      </c>
      <c r="C826" t="inlineStr">
        <is>
          <t>Salaverry</t>
        </is>
      </c>
      <c r="D826" t="n">
        <v>0</v>
      </c>
      <c r="E826" t="n">
        <v>0</v>
      </c>
      <c r="F826" t="n">
        <v>0</v>
      </c>
      <c r="G826" t="n">
        <v>0</v>
      </c>
      <c r="H826">
        <f>AVERAGE(D17103:G17103)</f>
        <v/>
      </c>
    </row>
    <row r="827">
      <c r="A827" t="inlineStr">
        <is>
          <t>37404121</t>
        </is>
      </c>
      <c r="B827" t="inlineStr">
        <is>
          <t>PRODUCTO 0FEE04</t>
        </is>
      </c>
      <c r="C827" t="inlineStr">
        <is>
          <t>San Borja</t>
        </is>
      </c>
      <c r="D827" t="n">
        <v>1</v>
      </c>
      <c r="E827" t="n">
        <v>1</v>
      </c>
      <c r="F827" t="n">
        <v>0</v>
      </c>
      <c r="G827" t="n">
        <v>0</v>
      </c>
      <c r="H827">
        <f>AVERAGE(D17104:G17104)</f>
        <v/>
      </c>
    </row>
    <row r="828">
      <c r="A828" t="inlineStr">
        <is>
          <t>37404121</t>
        </is>
      </c>
      <c r="B828" t="inlineStr">
        <is>
          <t>PRODUCTO 0FEE04</t>
        </is>
      </c>
      <c r="C828" t="inlineStr">
        <is>
          <t>Piura</t>
        </is>
      </c>
      <c r="D828" t="n">
        <v>0</v>
      </c>
      <c r="E828" t="n">
        <v>0</v>
      </c>
      <c r="F828" t="n">
        <v>0</v>
      </c>
      <c r="G828" t="n">
        <v>0</v>
      </c>
      <c r="H828">
        <f>AVERAGE(D17106:G17106)</f>
        <v/>
      </c>
    </row>
    <row r="829">
      <c r="A829" t="inlineStr">
        <is>
          <t>37404126</t>
        </is>
      </c>
      <c r="B829" t="inlineStr">
        <is>
          <t>PRODUCTO 26FE6D</t>
        </is>
      </c>
      <c r="C829" t="inlineStr">
        <is>
          <t>Jockey Plaza</t>
        </is>
      </c>
      <c r="D829" t="n">
        <v>0</v>
      </c>
      <c r="E829" t="n">
        <v>0</v>
      </c>
      <c r="F829" t="n">
        <v>0</v>
      </c>
      <c r="G829" t="n">
        <v>0</v>
      </c>
      <c r="H829">
        <f>AVERAGE(D17111:G17111)</f>
        <v/>
      </c>
    </row>
    <row r="830">
      <c r="A830" t="inlineStr">
        <is>
          <t>37404126</t>
        </is>
      </c>
      <c r="B830" t="inlineStr">
        <is>
          <t>PRODUCTO 26FE6D</t>
        </is>
      </c>
      <c r="C830" t="inlineStr">
        <is>
          <t>San Miguel</t>
        </is>
      </c>
      <c r="D830" t="n">
        <v>0</v>
      </c>
      <c r="E830" t="n">
        <v>0</v>
      </c>
      <c r="F830" t="n">
        <v>0</v>
      </c>
      <c r="G830" t="n">
        <v>0</v>
      </c>
      <c r="H830">
        <f>AVERAGE(D17112:G17112)</f>
        <v/>
      </c>
    </row>
    <row r="831">
      <c r="A831" t="inlineStr">
        <is>
          <t>37404126</t>
        </is>
      </c>
      <c r="B831" t="inlineStr">
        <is>
          <t>PRODUCTO 26FE6D</t>
        </is>
      </c>
      <c r="C831" t="inlineStr">
        <is>
          <t>Miraflores</t>
        </is>
      </c>
      <c r="D831" t="n">
        <v>0</v>
      </c>
      <c r="E831" t="n">
        <v>0</v>
      </c>
      <c r="F831" t="n">
        <v>0</v>
      </c>
      <c r="G831" t="n">
        <v>0</v>
      </c>
      <c r="H831">
        <f>AVERAGE(D17113:G17113)</f>
        <v/>
      </c>
    </row>
    <row r="832">
      <c r="A832" t="inlineStr">
        <is>
          <t>37404126</t>
        </is>
      </c>
      <c r="B832" t="inlineStr">
        <is>
          <t>PRODUCTO 26FE6D</t>
        </is>
      </c>
      <c r="C832" t="inlineStr">
        <is>
          <t>Salaverry</t>
        </is>
      </c>
      <c r="D832" t="n">
        <v>0</v>
      </c>
      <c r="E832" t="n">
        <v>0</v>
      </c>
      <c r="F832" t="n">
        <v>0</v>
      </c>
      <c r="G832" t="n">
        <v>0</v>
      </c>
      <c r="H832">
        <f>AVERAGE(D17117:G17117)</f>
        <v/>
      </c>
    </row>
    <row r="833">
      <c r="A833" t="inlineStr">
        <is>
          <t>37404126</t>
        </is>
      </c>
      <c r="B833" t="inlineStr">
        <is>
          <t>PRODUCTO 26FE6D</t>
        </is>
      </c>
      <c r="C833" t="inlineStr">
        <is>
          <t>San Borja</t>
        </is>
      </c>
      <c r="D833" t="n">
        <v>0</v>
      </c>
      <c r="E833" t="n">
        <v>0</v>
      </c>
      <c r="F833" t="n">
        <v>0</v>
      </c>
      <c r="G833" t="n">
        <v>0</v>
      </c>
      <c r="H833">
        <f>AVERAGE(D17118:G17118)</f>
        <v/>
      </c>
    </row>
    <row r="834">
      <c r="A834" t="inlineStr">
        <is>
          <t>37404126</t>
        </is>
      </c>
      <c r="B834" t="inlineStr">
        <is>
          <t>PRODUCTO 26FE6D</t>
        </is>
      </c>
      <c r="C834" t="inlineStr">
        <is>
          <t>Piura</t>
        </is>
      </c>
      <c r="D834" t="n">
        <v>0</v>
      </c>
      <c r="E834" t="n">
        <v>0</v>
      </c>
      <c r="F834" t="n">
        <v>0</v>
      </c>
      <c r="G834" t="n">
        <v>0</v>
      </c>
      <c r="H834">
        <f>AVERAGE(D17120:G17120)</f>
        <v/>
      </c>
    </row>
    <row r="835">
      <c r="A835" t="inlineStr">
        <is>
          <t>37404141</t>
        </is>
      </c>
      <c r="B835" t="inlineStr">
        <is>
          <t>PRODUCTO 42027C</t>
        </is>
      </c>
      <c r="C835" t="inlineStr">
        <is>
          <t>Jockey Plaza</t>
        </is>
      </c>
      <c r="D835" t="n">
        <v>0</v>
      </c>
      <c r="E835" t="n">
        <v>0</v>
      </c>
      <c r="F835" t="n">
        <v>0</v>
      </c>
      <c r="G835" t="n">
        <v>0</v>
      </c>
      <c r="H835">
        <f>AVERAGE(D17153:G17153)</f>
        <v/>
      </c>
    </row>
    <row r="836">
      <c r="A836" t="inlineStr">
        <is>
          <t>37404141</t>
        </is>
      </c>
      <c r="B836" t="inlineStr">
        <is>
          <t>PRODUCTO 42027C</t>
        </is>
      </c>
      <c r="C836" t="inlineStr">
        <is>
          <t>San Miguel</t>
        </is>
      </c>
      <c r="D836" t="n">
        <v>0</v>
      </c>
      <c r="E836" t="n">
        <v>0</v>
      </c>
      <c r="F836" t="n">
        <v>0</v>
      </c>
      <c r="G836" t="n">
        <v>0</v>
      </c>
      <c r="H836">
        <f>AVERAGE(D17154:G17154)</f>
        <v/>
      </c>
    </row>
    <row r="837">
      <c r="A837" t="inlineStr">
        <is>
          <t>37404141</t>
        </is>
      </c>
      <c r="B837" t="inlineStr">
        <is>
          <t>PRODUCTO 42027C</t>
        </is>
      </c>
      <c r="C837" t="inlineStr">
        <is>
          <t>Miraflores</t>
        </is>
      </c>
      <c r="D837" t="n">
        <v>0</v>
      </c>
      <c r="E837" t="n">
        <v>0</v>
      </c>
      <c r="F837" t="n">
        <v>0</v>
      </c>
      <c r="G837" t="n">
        <v>0</v>
      </c>
      <c r="H837">
        <f>AVERAGE(D17155:G17155)</f>
        <v/>
      </c>
    </row>
    <row r="838">
      <c r="A838" t="inlineStr">
        <is>
          <t>37404141</t>
        </is>
      </c>
      <c r="B838" t="inlineStr">
        <is>
          <t>PRODUCTO 42027C</t>
        </is>
      </c>
      <c r="C838" t="inlineStr">
        <is>
          <t>Salaverry</t>
        </is>
      </c>
      <c r="D838" t="n">
        <v>0</v>
      </c>
      <c r="E838" t="n">
        <v>0</v>
      </c>
      <c r="F838" t="n">
        <v>0</v>
      </c>
      <c r="G838" t="n">
        <v>0</v>
      </c>
      <c r="H838">
        <f>AVERAGE(D17159:G17159)</f>
        <v/>
      </c>
    </row>
    <row r="839">
      <c r="A839" t="inlineStr">
        <is>
          <t>37404141</t>
        </is>
      </c>
      <c r="B839" t="inlineStr">
        <is>
          <t>PRODUCTO 42027C</t>
        </is>
      </c>
      <c r="C839" t="inlineStr">
        <is>
          <t>San Borja</t>
        </is>
      </c>
      <c r="D839" t="n">
        <v>0</v>
      </c>
      <c r="E839" t="n">
        <v>0</v>
      </c>
      <c r="F839" t="n">
        <v>0</v>
      </c>
      <c r="G839" t="n">
        <v>0</v>
      </c>
      <c r="H839">
        <f>AVERAGE(D17160:G17160)</f>
        <v/>
      </c>
    </row>
    <row r="840">
      <c r="A840" t="inlineStr">
        <is>
          <t>37404141</t>
        </is>
      </c>
      <c r="B840" t="inlineStr">
        <is>
          <t>PRODUCTO 42027C</t>
        </is>
      </c>
      <c r="C840" t="inlineStr">
        <is>
          <t>Piura</t>
        </is>
      </c>
      <c r="D840" t="n">
        <v>0</v>
      </c>
      <c r="E840" t="n">
        <v>0</v>
      </c>
      <c r="F840" t="n">
        <v>0</v>
      </c>
      <c r="G840" t="n">
        <v>0</v>
      </c>
      <c r="H840">
        <f>AVERAGE(D17162:G17162)</f>
        <v/>
      </c>
    </row>
    <row r="841">
      <c r="A841" t="inlineStr">
        <is>
          <t>37404166</t>
        </is>
      </c>
      <c r="B841" t="inlineStr">
        <is>
          <t>PRODUCTO B630FD</t>
        </is>
      </c>
      <c r="C841" t="inlineStr">
        <is>
          <t>Jockey Plaza</t>
        </is>
      </c>
      <c r="D841" t="n">
        <v>1</v>
      </c>
      <c r="E841" t="n">
        <v>0</v>
      </c>
      <c r="F841" t="n">
        <v>0</v>
      </c>
      <c r="G841" t="n">
        <v>0</v>
      </c>
      <c r="H841">
        <f>AVERAGE(D17222:G17222)</f>
        <v/>
      </c>
    </row>
    <row r="842">
      <c r="A842" t="inlineStr">
        <is>
          <t>37404166</t>
        </is>
      </c>
      <c r="B842" t="inlineStr">
        <is>
          <t>PRODUCTO B630FD</t>
        </is>
      </c>
      <c r="C842" t="inlineStr">
        <is>
          <t>San Miguel</t>
        </is>
      </c>
      <c r="D842" t="n">
        <v>0</v>
      </c>
      <c r="E842" t="n">
        <v>0</v>
      </c>
      <c r="F842" t="n">
        <v>0</v>
      </c>
      <c r="G842" t="n">
        <v>0</v>
      </c>
      <c r="H842">
        <f>AVERAGE(D17223:G17223)</f>
        <v/>
      </c>
    </row>
    <row r="843">
      <c r="A843" t="inlineStr">
        <is>
          <t>37404166</t>
        </is>
      </c>
      <c r="B843" t="inlineStr">
        <is>
          <t>PRODUCTO B630FD</t>
        </is>
      </c>
      <c r="C843" t="inlineStr">
        <is>
          <t>Miraflores</t>
        </is>
      </c>
      <c r="D843" t="n">
        <v>0</v>
      </c>
      <c r="E843" t="n">
        <v>0</v>
      </c>
      <c r="F843" t="n">
        <v>0</v>
      </c>
      <c r="G843" t="n">
        <v>0</v>
      </c>
      <c r="H843">
        <f>AVERAGE(D17224:G17224)</f>
        <v/>
      </c>
    </row>
    <row r="844">
      <c r="A844" t="inlineStr">
        <is>
          <t>37404166</t>
        </is>
      </c>
      <c r="B844" t="inlineStr">
        <is>
          <t>PRODUCTO B630FD</t>
        </is>
      </c>
      <c r="C844" t="inlineStr">
        <is>
          <t>Salaverry</t>
        </is>
      </c>
      <c r="D844" t="n">
        <v>1</v>
      </c>
      <c r="E844" t="n">
        <v>0</v>
      </c>
      <c r="F844" t="n">
        <v>0</v>
      </c>
      <c r="G844" t="n">
        <v>0</v>
      </c>
      <c r="H844">
        <f>AVERAGE(D17228:G17228)</f>
        <v/>
      </c>
    </row>
    <row r="845">
      <c r="A845" t="inlineStr">
        <is>
          <t>37404166</t>
        </is>
      </c>
      <c r="B845" t="inlineStr">
        <is>
          <t>PRODUCTO B630FD</t>
        </is>
      </c>
      <c r="C845" t="inlineStr">
        <is>
          <t>San Borja</t>
        </is>
      </c>
      <c r="D845" t="n">
        <v>0</v>
      </c>
      <c r="E845" t="n">
        <v>0</v>
      </c>
      <c r="F845" t="n">
        <v>0</v>
      </c>
      <c r="G845" t="n">
        <v>0</v>
      </c>
      <c r="H845">
        <f>AVERAGE(D17229:G17229)</f>
        <v/>
      </c>
    </row>
    <row r="846">
      <c r="A846" t="inlineStr">
        <is>
          <t>37404166</t>
        </is>
      </c>
      <c r="B846" t="inlineStr">
        <is>
          <t>PRODUCTO B630FD</t>
        </is>
      </c>
      <c r="C846" t="inlineStr">
        <is>
          <t>Piura</t>
        </is>
      </c>
      <c r="D846" t="n">
        <v>0</v>
      </c>
      <c r="E846" t="n">
        <v>0</v>
      </c>
      <c r="F846" t="n">
        <v>0</v>
      </c>
      <c r="G846" t="n">
        <v>0</v>
      </c>
      <c r="H846">
        <f>AVERAGE(D17231:G17231)</f>
        <v/>
      </c>
    </row>
    <row r="847">
      <c r="A847" t="inlineStr">
        <is>
          <t>37450626</t>
        </is>
      </c>
      <c r="B847" t="inlineStr">
        <is>
          <t>PRODUCTO 4AF2BC</t>
        </is>
      </c>
      <c r="C847" t="inlineStr">
        <is>
          <t>Jockey Plaza</t>
        </is>
      </c>
      <c r="D847" t="n">
        <v>0</v>
      </c>
      <c r="E847" t="n">
        <v>0</v>
      </c>
      <c r="F847" t="n">
        <v>0</v>
      </c>
      <c r="G847" t="n">
        <v>0</v>
      </c>
      <c r="H847">
        <f>AVERAGE(D17348:G17348)</f>
        <v/>
      </c>
    </row>
    <row r="848">
      <c r="A848" t="inlineStr">
        <is>
          <t>37450626</t>
        </is>
      </c>
      <c r="B848" t="inlineStr">
        <is>
          <t>PRODUCTO 4AF2BC</t>
        </is>
      </c>
      <c r="C848" t="inlineStr">
        <is>
          <t>Miraflores</t>
        </is>
      </c>
      <c r="D848" t="n">
        <v>0</v>
      </c>
      <c r="E848" t="n">
        <v>0</v>
      </c>
      <c r="F848" t="n">
        <v>0</v>
      </c>
      <c r="G848" t="n">
        <v>0</v>
      </c>
      <c r="H848">
        <f>AVERAGE(D17349:G17349)</f>
        <v/>
      </c>
    </row>
    <row r="849">
      <c r="A849" t="inlineStr">
        <is>
          <t>37450626</t>
        </is>
      </c>
      <c r="B849" t="inlineStr">
        <is>
          <t>PRODUCTO 4AF2BC</t>
        </is>
      </c>
      <c r="C849" t="inlineStr">
        <is>
          <t>Salaverry</t>
        </is>
      </c>
      <c r="D849" t="n">
        <v>0</v>
      </c>
      <c r="E849" t="n">
        <v>0</v>
      </c>
      <c r="F849" t="n">
        <v>0</v>
      </c>
      <c r="G849" t="n">
        <v>0</v>
      </c>
      <c r="H849">
        <f>AVERAGE(D17351:G17351)</f>
        <v/>
      </c>
    </row>
    <row r="850">
      <c r="A850" t="inlineStr">
        <is>
          <t>37450626</t>
        </is>
      </c>
      <c r="B850" t="inlineStr">
        <is>
          <t>PRODUCTO 4AF2BC</t>
        </is>
      </c>
      <c r="C850" t="inlineStr">
        <is>
          <t>Piura</t>
        </is>
      </c>
      <c r="D850" t="n">
        <v>0</v>
      </c>
      <c r="E850" t="n">
        <v>0</v>
      </c>
      <c r="F850" t="n">
        <v>0</v>
      </c>
      <c r="G850" t="n">
        <v>0</v>
      </c>
      <c r="H850">
        <f>AVERAGE(D17352:G17352)</f>
        <v/>
      </c>
    </row>
    <row r="851">
      <c r="A851" t="inlineStr">
        <is>
          <t>37465856</t>
        </is>
      </c>
      <c r="B851" t="inlineStr">
        <is>
          <t>PRODUCTO 4F6D5D</t>
        </is>
      </c>
      <c r="C851" t="inlineStr">
        <is>
          <t>Jockey Plaza</t>
        </is>
      </c>
      <c r="D851" t="n">
        <v>1</v>
      </c>
      <c r="E851" t="n">
        <v>0</v>
      </c>
      <c r="F851" t="n">
        <v>0</v>
      </c>
      <c r="G851" t="n">
        <v>0</v>
      </c>
      <c r="H851">
        <f>AVERAGE(D17482:G17482)</f>
        <v/>
      </c>
    </row>
    <row r="852">
      <c r="A852" t="inlineStr">
        <is>
          <t>37465856</t>
        </is>
      </c>
      <c r="B852" t="inlineStr">
        <is>
          <t>PRODUCTO 4F6D5D</t>
        </is>
      </c>
      <c r="C852" t="inlineStr">
        <is>
          <t>San Miguel</t>
        </is>
      </c>
      <c r="D852" t="n">
        <v>1</v>
      </c>
      <c r="E852" t="n">
        <v>0</v>
      </c>
      <c r="F852" t="n">
        <v>0</v>
      </c>
      <c r="G852" t="n">
        <v>0</v>
      </c>
      <c r="H852">
        <f>AVERAGE(D17483:G17483)</f>
        <v/>
      </c>
    </row>
    <row r="853">
      <c r="A853" t="inlineStr">
        <is>
          <t>37465856</t>
        </is>
      </c>
      <c r="B853" t="inlineStr">
        <is>
          <t>PRODUCTO 4F6D5D</t>
        </is>
      </c>
      <c r="C853" t="inlineStr">
        <is>
          <t>Miraflores</t>
        </is>
      </c>
      <c r="D853" t="n">
        <v>0</v>
      </c>
      <c r="E853" t="n">
        <v>0</v>
      </c>
      <c r="F853" t="n">
        <v>0</v>
      </c>
      <c r="G853" t="n">
        <v>0</v>
      </c>
      <c r="H853">
        <f>AVERAGE(D17484:G17484)</f>
        <v/>
      </c>
    </row>
    <row r="854">
      <c r="A854" t="inlineStr">
        <is>
          <t>37465856</t>
        </is>
      </c>
      <c r="B854" t="inlineStr">
        <is>
          <t>PRODUCTO 4F6D5D</t>
        </is>
      </c>
      <c r="C854" t="inlineStr">
        <is>
          <t>Salaverry</t>
        </is>
      </c>
      <c r="D854" t="n">
        <v>1</v>
      </c>
      <c r="E854" t="n">
        <v>0</v>
      </c>
      <c r="F854" t="n">
        <v>0</v>
      </c>
      <c r="G854" t="n">
        <v>0</v>
      </c>
      <c r="H854">
        <f>AVERAGE(D17488:G17488)</f>
        <v/>
      </c>
    </row>
    <row r="855">
      <c r="A855" t="inlineStr">
        <is>
          <t>37465856</t>
        </is>
      </c>
      <c r="B855" t="inlineStr">
        <is>
          <t>PRODUCTO 4F6D5D</t>
        </is>
      </c>
      <c r="C855" t="inlineStr">
        <is>
          <t>San Borja</t>
        </is>
      </c>
      <c r="D855" t="n">
        <v>0</v>
      </c>
      <c r="E855" t="n">
        <v>0</v>
      </c>
      <c r="F855" t="n">
        <v>0</v>
      </c>
      <c r="G855" t="n">
        <v>0</v>
      </c>
      <c r="H855">
        <f>AVERAGE(D17489:G17489)</f>
        <v/>
      </c>
    </row>
    <row r="856">
      <c r="A856" t="inlineStr">
        <is>
          <t>37465856</t>
        </is>
      </c>
      <c r="B856" t="inlineStr">
        <is>
          <t>PRODUCTO 4F6D5D</t>
        </is>
      </c>
      <c r="C856" t="inlineStr">
        <is>
          <t>Piura</t>
        </is>
      </c>
      <c r="D856" t="n">
        <v>2</v>
      </c>
      <c r="E856" t="n">
        <v>0</v>
      </c>
      <c r="F856" t="n">
        <v>0</v>
      </c>
      <c r="G856" t="n">
        <v>0</v>
      </c>
      <c r="H856">
        <f>AVERAGE(D17491:G17491)</f>
        <v/>
      </c>
    </row>
    <row r="857">
      <c r="A857" t="inlineStr">
        <is>
          <t>37465865</t>
        </is>
      </c>
      <c r="B857" t="inlineStr">
        <is>
          <t>PRODUCTO 2E7E67</t>
        </is>
      </c>
      <c r="C857" t="inlineStr">
        <is>
          <t>Jockey Plaza</t>
        </is>
      </c>
      <c r="D857" t="n">
        <v>0</v>
      </c>
      <c r="E857" t="n">
        <v>0</v>
      </c>
      <c r="F857" t="n">
        <v>0</v>
      </c>
      <c r="G857" t="n">
        <v>0</v>
      </c>
      <c r="H857">
        <f>AVERAGE(D17497:G17497)</f>
        <v/>
      </c>
    </row>
    <row r="858">
      <c r="A858" t="inlineStr">
        <is>
          <t>37465865</t>
        </is>
      </c>
      <c r="B858" t="inlineStr">
        <is>
          <t>PRODUCTO 2E7E67</t>
        </is>
      </c>
      <c r="C858" t="inlineStr">
        <is>
          <t>San Miguel</t>
        </is>
      </c>
      <c r="D858" t="n">
        <v>0</v>
      </c>
      <c r="E858" t="n">
        <v>0</v>
      </c>
      <c r="F858" t="n">
        <v>0</v>
      </c>
      <c r="G858" t="n">
        <v>0</v>
      </c>
      <c r="H858">
        <f>AVERAGE(D17498:G17498)</f>
        <v/>
      </c>
    </row>
    <row r="859">
      <c r="A859" t="inlineStr">
        <is>
          <t>37465865</t>
        </is>
      </c>
      <c r="B859" t="inlineStr">
        <is>
          <t>PRODUCTO 2E7E67</t>
        </is>
      </c>
      <c r="C859" t="inlineStr">
        <is>
          <t>Miraflores</t>
        </is>
      </c>
      <c r="D859" t="n">
        <v>0</v>
      </c>
      <c r="E859" t="n">
        <v>0</v>
      </c>
      <c r="F859" t="n">
        <v>0</v>
      </c>
      <c r="G859" t="n">
        <v>0</v>
      </c>
      <c r="H859">
        <f>AVERAGE(D17499:G17499)</f>
        <v/>
      </c>
    </row>
    <row r="860">
      <c r="A860" t="inlineStr">
        <is>
          <t>37465865</t>
        </is>
      </c>
      <c r="B860" t="inlineStr">
        <is>
          <t>PRODUCTO 2E7E67</t>
        </is>
      </c>
      <c r="C860" t="inlineStr">
        <is>
          <t>Salaverry</t>
        </is>
      </c>
      <c r="D860" t="n">
        <v>0</v>
      </c>
      <c r="E860" t="n">
        <v>0</v>
      </c>
      <c r="F860" t="n">
        <v>0</v>
      </c>
      <c r="G860" t="n">
        <v>0</v>
      </c>
      <c r="H860">
        <f>AVERAGE(D17503:G17503)</f>
        <v/>
      </c>
    </row>
    <row r="861">
      <c r="A861" t="inlineStr">
        <is>
          <t>37465865</t>
        </is>
      </c>
      <c r="B861" t="inlineStr">
        <is>
          <t>PRODUCTO 2E7E67</t>
        </is>
      </c>
      <c r="C861" t="inlineStr">
        <is>
          <t>San Borja</t>
        </is>
      </c>
      <c r="D861" t="n">
        <v>0</v>
      </c>
      <c r="E861" t="n">
        <v>0</v>
      </c>
      <c r="F861" t="n">
        <v>0</v>
      </c>
      <c r="G861" t="n">
        <v>0</v>
      </c>
      <c r="H861">
        <f>AVERAGE(D17504:G17504)</f>
        <v/>
      </c>
    </row>
    <row r="862">
      <c r="A862" t="inlineStr">
        <is>
          <t>37465865</t>
        </is>
      </c>
      <c r="B862" t="inlineStr">
        <is>
          <t>PRODUCTO 2E7E67</t>
        </is>
      </c>
      <c r="C862" t="inlineStr">
        <is>
          <t>Piura</t>
        </is>
      </c>
      <c r="D862" t="n">
        <v>0</v>
      </c>
      <c r="E862" t="n">
        <v>0</v>
      </c>
      <c r="F862" t="n">
        <v>0</v>
      </c>
      <c r="G862" t="n">
        <v>0</v>
      </c>
      <c r="H862">
        <f>AVERAGE(D17506:G17506)</f>
        <v/>
      </c>
    </row>
    <row r="863">
      <c r="A863" t="inlineStr">
        <is>
          <t>37465880</t>
        </is>
      </c>
      <c r="B863" t="inlineStr">
        <is>
          <t>PRODUCTO E6DE05</t>
        </is>
      </c>
      <c r="C863" t="inlineStr">
        <is>
          <t>Jockey Plaza</t>
        </is>
      </c>
      <c r="D863" t="n">
        <v>1</v>
      </c>
      <c r="E863" t="n">
        <v>0</v>
      </c>
      <c r="F863" t="n">
        <v>0</v>
      </c>
      <c r="G863" t="n">
        <v>0</v>
      </c>
      <c r="H863">
        <f>AVERAGE(D17542:G17542)</f>
        <v/>
      </c>
    </row>
    <row r="864">
      <c r="A864" t="inlineStr">
        <is>
          <t>37465880</t>
        </is>
      </c>
      <c r="B864" t="inlineStr">
        <is>
          <t>PRODUCTO E6DE05</t>
        </is>
      </c>
      <c r="C864" t="inlineStr">
        <is>
          <t>San Miguel</t>
        </is>
      </c>
      <c r="D864" t="n">
        <v>0</v>
      </c>
      <c r="E864" t="n">
        <v>0</v>
      </c>
      <c r="F864" t="n">
        <v>0</v>
      </c>
      <c r="G864" t="n">
        <v>0</v>
      </c>
      <c r="H864">
        <f>AVERAGE(D17543:G17543)</f>
        <v/>
      </c>
    </row>
    <row r="865">
      <c r="A865" t="inlineStr">
        <is>
          <t>37465880</t>
        </is>
      </c>
      <c r="B865" t="inlineStr">
        <is>
          <t>PRODUCTO E6DE05</t>
        </is>
      </c>
      <c r="C865" t="inlineStr">
        <is>
          <t>Miraflores</t>
        </is>
      </c>
      <c r="D865" t="n">
        <v>0</v>
      </c>
      <c r="E865" t="n">
        <v>0</v>
      </c>
      <c r="F865" t="n">
        <v>0</v>
      </c>
      <c r="G865" t="n">
        <v>0</v>
      </c>
      <c r="H865">
        <f>AVERAGE(D17544:G17544)</f>
        <v/>
      </c>
    </row>
    <row r="866">
      <c r="A866" t="inlineStr">
        <is>
          <t>37465880</t>
        </is>
      </c>
      <c r="B866" t="inlineStr">
        <is>
          <t>PRODUCTO E6DE05</t>
        </is>
      </c>
      <c r="C866" t="inlineStr">
        <is>
          <t>Salaverry</t>
        </is>
      </c>
      <c r="D866" t="n">
        <v>0</v>
      </c>
      <c r="E866" t="n">
        <v>0</v>
      </c>
      <c r="F866" t="n">
        <v>0</v>
      </c>
      <c r="G866" t="n">
        <v>0</v>
      </c>
      <c r="H866">
        <f>AVERAGE(D17548:G17548)</f>
        <v/>
      </c>
    </row>
    <row r="867">
      <c r="A867" t="inlineStr">
        <is>
          <t>37465880</t>
        </is>
      </c>
      <c r="B867" t="inlineStr">
        <is>
          <t>PRODUCTO E6DE05</t>
        </is>
      </c>
      <c r="C867" t="inlineStr">
        <is>
          <t>San Borja</t>
        </is>
      </c>
      <c r="D867" t="n">
        <v>0</v>
      </c>
      <c r="E867" t="n">
        <v>0</v>
      </c>
      <c r="F867" t="n">
        <v>0</v>
      </c>
      <c r="G867" t="n">
        <v>0</v>
      </c>
      <c r="H867">
        <f>AVERAGE(D17549:G17549)</f>
        <v/>
      </c>
    </row>
    <row r="868">
      <c r="A868" t="inlineStr">
        <is>
          <t>37465880</t>
        </is>
      </c>
      <c r="B868" t="inlineStr">
        <is>
          <t>PRODUCTO E6DE05</t>
        </is>
      </c>
      <c r="C868" t="inlineStr">
        <is>
          <t>Piura</t>
        </is>
      </c>
      <c r="D868" t="n">
        <v>0</v>
      </c>
      <c r="E868" t="n">
        <v>0</v>
      </c>
      <c r="F868" t="n">
        <v>0</v>
      </c>
      <c r="G868" t="n">
        <v>0</v>
      </c>
      <c r="H868">
        <f>AVERAGE(D17551:G17551)</f>
        <v/>
      </c>
    </row>
    <row r="869">
      <c r="A869" t="inlineStr">
        <is>
          <t>37466830</t>
        </is>
      </c>
      <c r="B869" t="inlineStr">
        <is>
          <t>PRODUCTO 81BE72</t>
        </is>
      </c>
      <c r="C869" t="inlineStr">
        <is>
          <t>Jockey Plaza</t>
        </is>
      </c>
      <c r="D869" t="n">
        <v>0</v>
      </c>
      <c r="E869" t="n">
        <v>0</v>
      </c>
      <c r="F869" t="n">
        <v>0</v>
      </c>
      <c r="G869" t="n">
        <v>0</v>
      </c>
      <c r="H869">
        <f>AVERAGE(D17689:G17689)</f>
        <v/>
      </c>
    </row>
    <row r="870">
      <c r="A870" t="inlineStr">
        <is>
          <t>37466830</t>
        </is>
      </c>
      <c r="B870" t="inlineStr">
        <is>
          <t>PRODUCTO 81BE72</t>
        </is>
      </c>
      <c r="C870" t="inlineStr">
        <is>
          <t>San Miguel</t>
        </is>
      </c>
      <c r="D870" t="n">
        <v>0</v>
      </c>
      <c r="E870" t="n">
        <v>0</v>
      </c>
      <c r="F870" t="n">
        <v>0</v>
      </c>
      <c r="G870" t="n">
        <v>0</v>
      </c>
      <c r="H870">
        <f>AVERAGE(D17690:G17690)</f>
        <v/>
      </c>
    </row>
    <row r="871">
      <c r="A871" t="inlineStr">
        <is>
          <t>37466830</t>
        </is>
      </c>
      <c r="B871" t="inlineStr">
        <is>
          <t>PRODUCTO 81BE72</t>
        </is>
      </c>
      <c r="C871" t="inlineStr">
        <is>
          <t>Miraflores</t>
        </is>
      </c>
      <c r="D871" t="n">
        <v>0</v>
      </c>
      <c r="E871" t="n">
        <v>0</v>
      </c>
      <c r="F871" t="n">
        <v>0</v>
      </c>
      <c r="G871" t="n">
        <v>0</v>
      </c>
      <c r="H871">
        <f>AVERAGE(D17691:G17691)</f>
        <v/>
      </c>
    </row>
    <row r="872">
      <c r="A872" t="inlineStr">
        <is>
          <t>37466830</t>
        </is>
      </c>
      <c r="B872" t="inlineStr">
        <is>
          <t>PRODUCTO 81BE72</t>
        </is>
      </c>
      <c r="C872" t="inlineStr">
        <is>
          <t>Salaverry</t>
        </is>
      </c>
      <c r="D872" t="n">
        <v>1</v>
      </c>
      <c r="E872" t="n">
        <v>0</v>
      </c>
      <c r="F872" t="n">
        <v>0</v>
      </c>
      <c r="G872" t="n">
        <v>0</v>
      </c>
      <c r="H872">
        <f>AVERAGE(D17695:G17695)</f>
        <v/>
      </c>
    </row>
    <row r="873">
      <c r="A873" t="inlineStr">
        <is>
          <t>37466830</t>
        </is>
      </c>
      <c r="B873" t="inlineStr">
        <is>
          <t>PRODUCTO 81BE72</t>
        </is>
      </c>
      <c r="C873" t="inlineStr">
        <is>
          <t>San Borja</t>
        </is>
      </c>
      <c r="D873" t="n">
        <v>0</v>
      </c>
      <c r="E873" t="n">
        <v>0</v>
      </c>
      <c r="F873" t="n">
        <v>0</v>
      </c>
      <c r="G873" t="n">
        <v>0</v>
      </c>
      <c r="H873">
        <f>AVERAGE(D17696:G17696)</f>
        <v/>
      </c>
    </row>
    <row r="874">
      <c r="A874" t="inlineStr">
        <is>
          <t>37466830</t>
        </is>
      </c>
      <c r="B874" t="inlineStr">
        <is>
          <t>PRODUCTO 81BE72</t>
        </is>
      </c>
      <c r="C874" t="inlineStr">
        <is>
          <t>Piura</t>
        </is>
      </c>
      <c r="D874" t="n">
        <v>1</v>
      </c>
      <c r="E874" t="n">
        <v>0</v>
      </c>
      <c r="F874" t="n">
        <v>0</v>
      </c>
      <c r="G874" t="n">
        <v>0</v>
      </c>
      <c r="H874">
        <f>AVERAGE(D17698:G17698)</f>
        <v/>
      </c>
    </row>
    <row r="875">
      <c r="A875" t="inlineStr">
        <is>
          <t>37550152</t>
        </is>
      </c>
      <c r="B875" t="inlineStr">
        <is>
          <t>PRODUCTO 31F5A9</t>
        </is>
      </c>
      <c r="C875" t="inlineStr">
        <is>
          <t>Jockey Plaza</t>
        </is>
      </c>
      <c r="D875" t="n">
        <v>0</v>
      </c>
      <c r="E875" t="n">
        <v>0</v>
      </c>
      <c r="F875" t="n">
        <v>0</v>
      </c>
      <c r="G875" t="n">
        <v>0</v>
      </c>
      <c r="H875">
        <f>AVERAGE(D17812:G17812)</f>
        <v/>
      </c>
    </row>
    <row r="876">
      <c r="A876" t="inlineStr">
        <is>
          <t>37550152</t>
        </is>
      </c>
      <c r="B876" t="inlineStr">
        <is>
          <t>PRODUCTO 31F5A9</t>
        </is>
      </c>
      <c r="C876" t="inlineStr">
        <is>
          <t>San Miguel</t>
        </is>
      </c>
      <c r="D876" t="n">
        <v>0</v>
      </c>
      <c r="E876" t="n">
        <v>0</v>
      </c>
      <c r="F876" t="n">
        <v>0</v>
      </c>
      <c r="G876" t="n">
        <v>0</v>
      </c>
      <c r="H876">
        <f>AVERAGE(D17813:G17813)</f>
        <v/>
      </c>
    </row>
    <row r="877">
      <c r="A877" t="inlineStr">
        <is>
          <t>37550152</t>
        </is>
      </c>
      <c r="B877" t="inlineStr">
        <is>
          <t>PRODUCTO 31F5A9</t>
        </is>
      </c>
      <c r="C877" t="inlineStr">
        <is>
          <t>Miraflores</t>
        </is>
      </c>
      <c r="D877" t="n">
        <v>0</v>
      </c>
      <c r="E877" t="n">
        <v>0</v>
      </c>
      <c r="F877" t="n">
        <v>0</v>
      </c>
      <c r="G877" t="n">
        <v>0</v>
      </c>
      <c r="H877">
        <f>AVERAGE(D17814:G17814)</f>
        <v/>
      </c>
    </row>
    <row r="878">
      <c r="A878" t="inlineStr">
        <is>
          <t>37550152</t>
        </is>
      </c>
      <c r="B878" t="inlineStr">
        <is>
          <t>PRODUCTO 31F5A9</t>
        </is>
      </c>
      <c r="C878" t="inlineStr">
        <is>
          <t>Salaverry</t>
        </is>
      </c>
      <c r="D878" t="n">
        <v>0</v>
      </c>
      <c r="E878" t="n">
        <v>0</v>
      </c>
      <c r="F878" t="n">
        <v>0</v>
      </c>
      <c r="G878" t="n">
        <v>0</v>
      </c>
      <c r="H878">
        <f>AVERAGE(D17819:G17819)</f>
        <v/>
      </c>
    </row>
    <row r="879">
      <c r="A879" t="inlineStr">
        <is>
          <t>37550152</t>
        </is>
      </c>
      <c r="B879" t="inlineStr">
        <is>
          <t>PRODUCTO 31F5A9</t>
        </is>
      </c>
      <c r="C879" t="inlineStr">
        <is>
          <t>San Borja</t>
        </is>
      </c>
      <c r="D879" t="n">
        <v>0</v>
      </c>
      <c r="E879" t="n">
        <v>0</v>
      </c>
      <c r="F879" t="n">
        <v>0</v>
      </c>
      <c r="G879" t="n">
        <v>0</v>
      </c>
      <c r="H879">
        <f>AVERAGE(D17820:G17820)</f>
        <v/>
      </c>
    </row>
    <row r="880">
      <c r="A880" t="inlineStr">
        <is>
          <t>25975095</t>
        </is>
      </c>
      <c r="B880" t="inlineStr">
        <is>
          <t>PRODUCTO 755182</t>
        </is>
      </c>
      <c r="C880" t="inlineStr">
        <is>
          <t>Jockey Plaza</t>
        </is>
      </c>
      <c r="D880" t="n">
        <v>0</v>
      </c>
      <c r="E880" t="n">
        <v>0</v>
      </c>
      <c r="F880" t="n">
        <v>0</v>
      </c>
      <c r="G880" t="n">
        <v>0</v>
      </c>
      <c r="H880">
        <f>AVERAGE(D17992:G17992)</f>
        <v/>
      </c>
    </row>
    <row r="881">
      <c r="A881" t="inlineStr">
        <is>
          <t>25975095</t>
        </is>
      </c>
      <c r="B881" t="inlineStr">
        <is>
          <t>PRODUCTO 755182</t>
        </is>
      </c>
      <c r="C881" t="inlineStr">
        <is>
          <t>Miraflores</t>
        </is>
      </c>
      <c r="D881" t="n">
        <v>0</v>
      </c>
      <c r="E881" t="n">
        <v>0</v>
      </c>
      <c r="F881" t="n">
        <v>0</v>
      </c>
      <c r="G881" t="n">
        <v>0</v>
      </c>
      <c r="H881">
        <f>AVERAGE(D17993:G17993)</f>
        <v/>
      </c>
    </row>
    <row r="882">
      <c r="A882" t="inlineStr">
        <is>
          <t>27828983</t>
        </is>
      </c>
      <c r="B882" t="inlineStr">
        <is>
          <t>PRODUCTO B6F4F4</t>
        </is>
      </c>
      <c r="C882" t="inlineStr">
        <is>
          <t>Jockey Plaza</t>
        </is>
      </c>
      <c r="D882" t="n">
        <v>0</v>
      </c>
      <c r="E882" t="n">
        <v>0</v>
      </c>
      <c r="F882" t="n">
        <v>0</v>
      </c>
      <c r="G882" t="n">
        <v>0</v>
      </c>
      <c r="H882">
        <f>AVERAGE(D18145:G18145)</f>
        <v/>
      </c>
    </row>
    <row r="883">
      <c r="A883" t="inlineStr">
        <is>
          <t>27828983</t>
        </is>
      </c>
      <c r="B883" t="inlineStr">
        <is>
          <t>PRODUCTO B6F4F4</t>
        </is>
      </c>
      <c r="C883" t="inlineStr">
        <is>
          <t>Salaverry</t>
        </is>
      </c>
      <c r="D883" t="n">
        <v>0</v>
      </c>
      <c r="E883" t="n">
        <v>0</v>
      </c>
      <c r="F883" t="n">
        <v>0</v>
      </c>
      <c r="G883" t="n">
        <v>0</v>
      </c>
      <c r="H883">
        <f>AVERAGE(D18150:G18150)</f>
        <v/>
      </c>
    </row>
    <row r="884">
      <c r="A884" t="inlineStr">
        <is>
          <t>27828983</t>
        </is>
      </c>
      <c r="B884" t="inlineStr">
        <is>
          <t>PRODUCTO B6F4F4</t>
        </is>
      </c>
      <c r="C884" t="inlineStr">
        <is>
          <t>Piura</t>
        </is>
      </c>
      <c r="D884" t="n">
        <v>0</v>
      </c>
      <c r="E884" t="n">
        <v>0</v>
      </c>
      <c r="F884" t="n">
        <v>0</v>
      </c>
      <c r="G884" t="n">
        <v>0</v>
      </c>
      <c r="H884">
        <f>AVERAGE(D18151:G18151)</f>
        <v/>
      </c>
    </row>
    <row r="885">
      <c r="A885" t="inlineStr">
        <is>
          <t>27828988</t>
        </is>
      </c>
      <c r="B885" t="inlineStr">
        <is>
          <t>PRODUCTO ABDF16</t>
        </is>
      </c>
      <c r="C885" t="inlineStr">
        <is>
          <t>San Miguel</t>
        </is>
      </c>
      <c r="D885" t="n">
        <v>0</v>
      </c>
      <c r="E885" t="n">
        <v>0</v>
      </c>
      <c r="F885" t="n">
        <v>0</v>
      </c>
      <c r="G885" t="n">
        <v>0</v>
      </c>
      <c r="H885">
        <f>AVERAGE(D18153:G18153)</f>
        <v/>
      </c>
    </row>
    <row r="886">
      <c r="A886" t="inlineStr">
        <is>
          <t>27828988</t>
        </is>
      </c>
      <c r="B886" t="inlineStr">
        <is>
          <t>PRODUCTO ABDF16</t>
        </is>
      </c>
      <c r="C886" t="inlineStr">
        <is>
          <t>Miraflores</t>
        </is>
      </c>
      <c r="D886" t="n">
        <v>0</v>
      </c>
      <c r="E886" t="n">
        <v>0</v>
      </c>
      <c r="F886" t="n">
        <v>0</v>
      </c>
      <c r="G886" t="n">
        <v>0</v>
      </c>
      <c r="H886">
        <f>AVERAGE(D18154:G18154)</f>
        <v/>
      </c>
    </row>
    <row r="887">
      <c r="A887" t="inlineStr">
        <is>
          <t>27828988</t>
        </is>
      </c>
      <c r="B887" t="inlineStr">
        <is>
          <t>PRODUCTO ABDF16</t>
        </is>
      </c>
      <c r="C887" t="inlineStr">
        <is>
          <t>Salaverry</t>
        </is>
      </c>
      <c r="D887" t="n">
        <v>0</v>
      </c>
      <c r="E887" t="n">
        <v>0</v>
      </c>
      <c r="F887" t="n">
        <v>0</v>
      </c>
      <c r="G887" t="n">
        <v>0</v>
      </c>
      <c r="H887">
        <f>AVERAGE(D18160:G18160)</f>
        <v/>
      </c>
    </row>
    <row r="888">
      <c r="A888" t="inlineStr">
        <is>
          <t>29256019</t>
        </is>
      </c>
      <c r="B888" t="inlineStr">
        <is>
          <t>PRODUCTO 01E545</t>
        </is>
      </c>
      <c r="C888" t="inlineStr">
        <is>
          <t>Miraflores</t>
        </is>
      </c>
      <c r="D888" t="n">
        <v>1</v>
      </c>
      <c r="E888" t="n">
        <v>0</v>
      </c>
      <c r="F888" t="n">
        <v>0</v>
      </c>
      <c r="G888" t="n">
        <v>0</v>
      </c>
      <c r="H888">
        <f>AVERAGE(D18250:G18250)</f>
        <v/>
      </c>
    </row>
    <row r="889">
      <c r="A889" t="inlineStr">
        <is>
          <t>33807779</t>
        </is>
      </c>
      <c r="B889" t="inlineStr">
        <is>
          <t>PRODUCTO 15ABFC</t>
        </is>
      </c>
      <c r="C889" t="inlineStr">
        <is>
          <t>Jockey Plaza</t>
        </is>
      </c>
      <c r="D889" t="n">
        <v>1</v>
      </c>
      <c r="E889" t="n">
        <v>1</v>
      </c>
      <c r="F889" t="n">
        <v>0</v>
      </c>
      <c r="G889" t="n">
        <v>0</v>
      </c>
      <c r="H889">
        <f>AVERAGE(D18354:G18354)</f>
        <v/>
      </c>
    </row>
    <row r="890">
      <c r="A890" t="inlineStr">
        <is>
          <t>33807779</t>
        </is>
      </c>
      <c r="B890" t="inlineStr">
        <is>
          <t>PRODUCTO 15ABFC</t>
        </is>
      </c>
      <c r="C890" t="inlineStr">
        <is>
          <t>San Miguel</t>
        </is>
      </c>
      <c r="D890" t="n">
        <v>2</v>
      </c>
      <c r="E890" t="n">
        <v>2</v>
      </c>
      <c r="F890" t="n">
        <v>1</v>
      </c>
      <c r="G890" t="n">
        <v>1</v>
      </c>
      <c r="H890">
        <f>AVERAGE(D18355:G18355)</f>
        <v/>
      </c>
    </row>
    <row r="891">
      <c r="A891" t="inlineStr">
        <is>
          <t>33807779</t>
        </is>
      </c>
      <c r="B891" t="inlineStr">
        <is>
          <t>PRODUCTO 15ABFC</t>
        </is>
      </c>
      <c r="C891" t="inlineStr">
        <is>
          <t>Miraflores</t>
        </is>
      </c>
      <c r="D891" t="n">
        <v>2</v>
      </c>
      <c r="E891" t="n">
        <v>2</v>
      </c>
      <c r="F891" t="n">
        <v>1</v>
      </c>
      <c r="G891" t="n">
        <v>1</v>
      </c>
      <c r="H891">
        <f>AVERAGE(D18356:G18356)</f>
        <v/>
      </c>
    </row>
    <row r="892">
      <c r="A892" t="inlineStr">
        <is>
          <t>33807779</t>
        </is>
      </c>
      <c r="B892" t="inlineStr">
        <is>
          <t>PRODUCTO 15ABFC</t>
        </is>
      </c>
      <c r="C892" t="inlineStr">
        <is>
          <t>Salaverry</t>
        </is>
      </c>
      <c r="D892" t="n">
        <v>4</v>
      </c>
      <c r="E892" t="n">
        <v>3</v>
      </c>
      <c r="F892" t="n">
        <v>2</v>
      </c>
      <c r="G892" t="n">
        <v>2</v>
      </c>
      <c r="H892">
        <f>AVERAGE(D18365:G18365)</f>
        <v/>
      </c>
    </row>
    <row r="893">
      <c r="A893" t="inlineStr">
        <is>
          <t>33807779</t>
        </is>
      </c>
      <c r="B893" t="inlineStr">
        <is>
          <t>PRODUCTO 15ABFC</t>
        </is>
      </c>
      <c r="C893" t="inlineStr">
        <is>
          <t>San Borja</t>
        </is>
      </c>
      <c r="D893" t="n">
        <v>1</v>
      </c>
      <c r="E893" t="n">
        <v>1</v>
      </c>
      <c r="F893" t="n">
        <v>0</v>
      </c>
      <c r="G893" t="n">
        <v>0</v>
      </c>
      <c r="H893">
        <f>AVERAGE(D18366:G18366)</f>
        <v/>
      </c>
    </row>
    <row r="894">
      <c r="A894" t="inlineStr">
        <is>
          <t>33807779</t>
        </is>
      </c>
      <c r="B894" t="inlineStr">
        <is>
          <t>PRODUCTO 15ABFC</t>
        </is>
      </c>
      <c r="C894" t="inlineStr">
        <is>
          <t>Piura</t>
        </is>
      </c>
      <c r="D894" t="n">
        <v>1</v>
      </c>
      <c r="E894" t="n">
        <v>1</v>
      </c>
      <c r="F894" t="n">
        <v>0</v>
      </c>
      <c r="G894" t="n">
        <v>0</v>
      </c>
      <c r="H894">
        <f>AVERAGE(D18374:G18374)</f>
        <v/>
      </c>
    </row>
    <row r="895">
      <c r="A895" t="inlineStr">
        <is>
          <t>36195449</t>
        </is>
      </c>
      <c r="B895" t="inlineStr">
        <is>
          <t>PRODUCTO F53B82</t>
        </is>
      </c>
      <c r="C895" t="inlineStr">
        <is>
          <t>San Miguel</t>
        </is>
      </c>
      <c r="D895" t="n">
        <v>0</v>
      </c>
      <c r="E895" t="n">
        <v>0</v>
      </c>
      <c r="F895" t="n">
        <v>0</v>
      </c>
      <c r="G895" t="n">
        <v>0</v>
      </c>
      <c r="H895">
        <f>AVERAGE(D18772:G18772)</f>
        <v/>
      </c>
    </row>
    <row r="896">
      <c r="A896" t="inlineStr">
        <is>
          <t>36195449</t>
        </is>
      </c>
      <c r="B896" t="inlineStr">
        <is>
          <t>PRODUCTO F53B82</t>
        </is>
      </c>
      <c r="C896" t="inlineStr">
        <is>
          <t>Miraflores</t>
        </is>
      </c>
      <c r="D896" t="n">
        <v>0</v>
      </c>
      <c r="E896" t="n">
        <v>0</v>
      </c>
      <c r="F896" t="n">
        <v>0</v>
      </c>
      <c r="G896" t="n">
        <v>0</v>
      </c>
      <c r="H896">
        <f>AVERAGE(D18773:G18773)</f>
        <v/>
      </c>
    </row>
    <row r="897">
      <c r="A897" t="inlineStr">
        <is>
          <t>36195449</t>
        </is>
      </c>
      <c r="B897" t="inlineStr">
        <is>
          <t>PRODUCTO F53B82</t>
        </is>
      </c>
      <c r="C897" t="inlineStr">
        <is>
          <t>Salaverry</t>
        </is>
      </c>
      <c r="D897" t="n">
        <v>0</v>
      </c>
      <c r="E897" t="n">
        <v>0</v>
      </c>
      <c r="F897" t="n">
        <v>0</v>
      </c>
      <c r="G897" t="n">
        <v>0</v>
      </c>
      <c r="H897">
        <f>AVERAGE(D18779:G18779)</f>
        <v/>
      </c>
    </row>
    <row r="898">
      <c r="A898" t="inlineStr">
        <is>
          <t>36195449</t>
        </is>
      </c>
      <c r="B898" t="inlineStr">
        <is>
          <t>PRODUCTO F53B82</t>
        </is>
      </c>
      <c r="C898" t="inlineStr">
        <is>
          <t>San Borja</t>
        </is>
      </c>
      <c r="D898" t="n">
        <v>0</v>
      </c>
      <c r="E898" t="n">
        <v>0</v>
      </c>
      <c r="F898" t="n">
        <v>0</v>
      </c>
      <c r="G898" t="n">
        <v>0</v>
      </c>
      <c r="H898">
        <f>AVERAGE(D18780:G18780)</f>
        <v/>
      </c>
    </row>
    <row r="899">
      <c r="A899" t="inlineStr">
        <is>
          <t>36195449</t>
        </is>
      </c>
      <c r="B899" t="inlineStr">
        <is>
          <t>PRODUCTO F53B82</t>
        </is>
      </c>
      <c r="C899" t="inlineStr">
        <is>
          <t>Piura</t>
        </is>
      </c>
      <c r="D899" t="n">
        <v>0</v>
      </c>
      <c r="E899" t="n">
        <v>0</v>
      </c>
      <c r="F899" t="n">
        <v>0</v>
      </c>
      <c r="G899" t="n">
        <v>0</v>
      </c>
      <c r="H899">
        <f>AVERAGE(D18786:G18786)</f>
        <v/>
      </c>
    </row>
    <row r="900">
      <c r="A900" t="inlineStr">
        <is>
          <t>36195519</t>
        </is>
      </c>
      <c r="B900" t="inlineStr">
        <is>
          <t>PRODUCTO 6177EF</t>
        </is>
      </c>
      <c r="C900" t="inlineStr">
        <is>
          <t>Miraflores</t>
        </is>
      </c>
      <c r="D900" t="n">
        <v>0</v>
      </c>
      <c r="E900" t="n">
        <v>0</v>
      </c>
      <c r="F900" t="n">
        <v>0</v>
      </c>
      <c r="G900" t="n">
        <v>0</v>
      </c>
      <c r="H900">
        <f>AVERAGE(D18836:G18836)</f>
        <v/>
      </c>
    </row>
    <row r="901">
      <c r="A901" t="inlineStr">
        <is>
          <t>36198143</t>
        </is>
      </c>
      <c r="B901" t="inlineStr">
        <is>
          <t>PRODUCTO 2AD39D</t>
        </is>
      </c>
      <c r="C901" t="inlineStr">
        <is>
          <t>Jockey Plaza</t>
        </is>
      </c>
      <c r="D901" t="n">
        <v>0</v>
      </c>
      <c r="E901" t="n">
        <v>0</v>
      </c>
      <c r="F901" t="n">
        <v>0</v>
      </c>
      <c r="G901" t="n">
        <v>0</v>
      </c>
      <c r="H901">
        <f>AVERAGE(D18977:G18977)</f>
        <v/>
      </c>
    </row>
    <row r="902">
      <c r="A902" t="inlineStr">
        <is>
          <t>36198143</t>
        </is>
      </c>
      <c r="B902" t="inlineStr">
        <is>
          <t>PRODUCTO 2AD39D</t>
        </is>
      </c>
      <c r="C902" t="inlineStr">
        <is>
          <t>San Miguel</t>
        </is>
      </c>
      <c r="D902" t="n">
        <v>1</v>
      </c>
      <c r="E902" t="n">
        <v>2</v>
      </c>
      <c r="F902" t="n">
        <v>1</v>
      </c>
      <c r="G902" t="n">
        <v>1</v>
      </c>
      <c r="H902">
        <f>AVERAGE(D18978:G18978)</f>
        <v/>
      </c>
    </row>
    <row r="903">
      <c r="A903" t="inlineStr">
        <is>
          <t>36198143</t>
        </is>
      </c>
      <c r="B903" t="inlineStr">
        <is>
          <t>PRODUCTO 2AD39D</t>
        </is>
      </c>
      <c r="C903" t="inlineStr">
        <is>
          <t>Miraflores</t>
        </is>
      </c>
      <c r="D903" t="n">
        <v>1</v>
      </c>
      <c r="E903" t="n">
        <v>2</v>
      </c>
      <c r="F903" t="n">
        <v>1</v>
      </c>
      <c r="G903" t="n">
        <v>1</v>
      </c>
      <c r="H903">
        <f>AVERAGE(D18979:G18979)</f>
        <v/>
      </c>
    </row>
    <row r="904">
      <c r="A904" t="inlineStr">
        <is>
          <t>36198143</t>
        </is>
      </c>
      <c r="B904" t="inlineStr">
        <is>
          <t>PRODUCTO 2AD39D</t>
        </is>
      </c>
      <c r="C904" t="inlineStr">
        <is>
          <t>Salaverry</t>
        </is>
      </c>
      <c r="D904" t="n">
        <v>0</v>
      </c>
      <c r="E904" t="n">
        <v>0</v>
      </c>
      <c r="F904" t="n">
        <v>0</v>
      </c>
      <c r="G904" t="n">
        <v>0</v>
      </c>
      <c r="H904">
        <f>AVERAGE(D18987:G18987)</f>
        <v/>
      </c>
    </row>
    <row r="905">
      <c r="A905" t="inlineStr">
        <is>
          <t>36198143</t>
        </is>
      </c>
      <c r="B905" t="inlineStr">
        <is>
          <t>PRODUCTO 2AD39D</t>
        </is>
      </c>
      <c r="C905" t="inlineStr">
        <is>
          <t>San Borja</t>
        </is>
      </c>
      <c r="D905" t="n">
        <v>0</v>
      </c>
      <c r="E905" t="n">
        <v>0</v>
      </c>
      <c r="F905" t="n">
        <v>0</v>
      </c>
      <c r="G905" t="n">
        <v>0</v>
      </c>
      <c r="H905">
        <f>AVERAGE(D18988:G18988)</f>
        <v/>
      </c>
    </row>
    <row r="906">
      <c r="A906" t="inlineStr">
        <is>
          <t>36198143</t>
        </is>
      </c>
      <c r="B906" t="inlineStr">
        <is>
          <t>PRODUCTO 2AD39D</t>
        </is>
      </c>
      <c r="C906" t="inlineStr">
        <is>
          <t>Piura</t>
        </is>
      </c>
      <c r="D906" t="n">
        <v>1</v>
      </c>
      <c r="E906" t="n">
        <v>2</v>
      </c>
      <c r="F906" t="n">
        <v>1</v>
      </c>
      <c r="G906" t="n">
        <v>1</v>
      </c>
      <c r="H906">
        <f>AVERAGE(D18991:G18991)</f>
        <v/>
      </c>
    </row>
    <row r="907">
      <c r="A907" t="inlineStr">
        <is>
          <t>36205813</t>
        </is>
      </c>
      <c r="B907" t="inlineStr">
        <is>
          <t>PRODUCTO F7B07E</t>
        </is>
      </c>
      <c r="C907" t="inlineStr">
        <is>
          <t>San Miguel</t>
        </is>
      </c>
      <c r="D907" t="n">
        <v>0</v>
      </c>
      <c r="E907" t="n">
        <v>0</v>
      </c>
      <c r="F907" t="n">
        <v>0</v>
      </c>
      <c r="G907" t="n">
        <v>0</v>
      </c>
      <c r="H907">
        <f>AVERAGE(D19169:G19169)</f>
        <v/>
      </c>
    </row>
    <row r="908">
      <c r="A908" t="inlineStr">
        <is>
          <t>36205813</t>
        </is>
      </c>
      <c r="B908" t="inlineStr">
        <is>
          <t>PRODUCTO F7B07E</t>
        </is>
      </c>
      <c r="C908" t="inlineStr">
        <is>
          <t>Miraflores</t>
        </is>
      </c>
      <c r="D908" t="n">
        <v>0</v>
      </c>
      <c r="E908" t="n">
        <v>0</v>
      </c>
      <c r="F908" t="n">
        <v>0</v>
      </c>
      <c r="G908" t="n">
        <v>0</v>
      </c>
      <c r="H908">
        <f>AVERAGE(D19170:G19170)</f>
        <v/>
      </c>
    </row>
    <row r="909">
      <c r="A909" t="inlineStr">
        <is>
          <t>36205813</t>
        </is>
      </c>
      <c r="B909" t="inlineStr">
        <is>
          <t>PRODUCTO F7B07E</t>
        </is>
      </c>
      <c r="C909" t="inlineStr">
        <is>
          <t>Salaverry</t>
        </is>
      </c>
      <c r="D909" t="n">
        <v>0</v>
      </c>
      <c r="E909" t="n">
        <v>0</v>
      </c>
      <c r="F909" t="n">
        <v>0</v>
      </c>
      <c r="G909" t="n">
        <v>0</v>
      </c>
      <c r="H909">
        <f>AVERAGE(D19172:G19172)</f>
        <v/>
      </c>
    </row>
    <row r="910">
      <c r="A910" t="inlineStr">
        <is>
          <t>36205813</t>
        </is>
      </c>
      <c r="B910" t="inlineStr">
        <is>
          <t>PRODUCTO F7B07E</t>
        </is>
      </c>
      <c r="C910" t="inlineStr">
        <is>
          <t>Piura</t>
        </is>
      </c>
      <c r="D910" t="n">
        <v>0</v>
      </c>
      <c r="E910" t="n">
        <v>0</v>
      </c>
      <c r="F910" t="n">
        <v>0</v>
      </c>
      <c r="G910" t="n">
        <v>0</v>
      </c>
      <c r="H910">
        <f>AVERAGE(D19177:G19177)</f>
        <v/>
      </c>
    </row>
    <row r="911">
      <c r="A911" t="inlineStr">
        <is>
          <t>36210326</t>
        </is>
      </c>
      <c r="B911" t="inlineStr">
        <is>
          <t>PRODUCTO C68242</t>
        </is>
      </c>
      <c r="C911" t="inlineStr">
        <is>
          <t>Jockey Plaza</t>
        </is>
      </c>
      <c r="D911" t="n">
        <v>0</v>
      </c>
      <c r="E911" t="n">
        <v>0</v>
      </c>
      <c r="F911" t="n">
        <v>0</v>
      </c>
      <c r="G911" t="n">
        <v>0</v>
      </c>
      <c r="H911">
        <f>AVERAGE(D19200:G19200)</f>
        <v/>
      </c>
    </row>
    <row r="912">
      <c r="A912" t="inlineStr">
        <is>
          <t>36210326</t>
        </is>
      </c>
      <c r="B912" t="inlineStr">
        <is>
          <t>PRODUCTO C68242</t>
        </is>
      </c>
      <c r="C912" t="inlineStr">
        <is>
          <t>San Miguel</t>
        </is>
      </c>
      <c r="D912" t="n">
        <v>0</v>
      </c>
      <c r="E912" t="n">
        <v>0</v>
      </c>
      <c r="F912" t="n">
        <v>0</v>
      </c>
      <c r="G912" t="n">
        <v>0</v>
      </c>
      <c r="H912">
        <f>AVERAGE(D19201:G19201)</f>
        <v/>
      </c>
    </row>
    <row r="913">
      <c r="A913" t="inlineStr">
        <is>
          <t>36210326</t>
        </is>
      </c>
      <c r="B913" t="inlineStr">
        <is>
          <t>PRODUCTO C68242</t>
        </is>
      </c>
      <c r="C913" t="inlineStr">
        <is>
          <t>Miraflores</t>
        </is>
      </c>
      <c r="D913" t="n">
        <v>0</v>
      </c>
      <c r="E913" t="n">
        <v>0</v>
      </c>
      <c r="F913" t="n">
        <v>0</v>
      </c>
      <c r="G913" t="n">
        <v>0</v>
      </c>
      <c r="H913">
        <f>AVERAGE(D19202:G19202)</f>
        <v/>
      </c>
    </row>
    <row r="914">
      <c r="A914" t="inlineStr">
        <is>
          <t>36210326</t>
        </is>
      </c>
      <c r="B914" t="inlineStr">
        <is>
          <t>PRODUCTO C68242</t>
        </is>
      </c>
      <c r="C914" t="inlineStr">
        <is>
          <t>Salaverry</t>
        </is>
      </c>
      <c r="D914" t="n">
        <v>0</v>
      </c>
      <c r="E914" t="n">
        <v>0</v>
      </c>
      <c r="F914" t="n">
        <v>0</v>
      </c>
      <c r="G914" t="n">
        <v>0</v>
      </c>
      <c r="H914">
        <f>AVERAGE(D19210:G19210)</f>
        <v/>
      </c>
    </row>
    <row r="915">
      <c r="A915" t="inlineStr">
        <is>
          <t>36210326</t>
        </is>
      </c>
      <c r="B915" t="inlineStr">
        <is>
          <t>PRODUCTO C68242</t>
        </is>
      </c>
      <c r="C915" t="inlineStr">
        <is>
          <t>San Borja</t>
        </is>
      </c>
      <c r="D915" t="n">
        <v>0</v>
      </c>
      <c r="E915" t="n">
        <v>0</v>
      </c>
      <c r="F915" t="n">
        <v>0</v>
      </c>
      <c r="G915" t="n">
        <v>0</v>
      </c>
      <c r="H915">
        <f>AVERAGE(D19211:G19211)</f>
        <v/>
      </c>
    </row>
    <row r="916">
      <c r="A916" t="inlineStr">
        <is>
          <t>36429163</t>
        </is>
      </c>
      <c r="B916" t="inlineStr">
        <is>
          <t>PRODUCTO 17ED76</t>
        </is>
      </c>
      <c r="C916" t="inlineStr">
        <is>
          <t>Salaverry</t>
        </is>
      </c>
      <c r="D916" t="n">
        <v>0</v>
      </c>
      <c r="E916" t="n">
        <v>0</v>
      </c>
      <c r="F916" t="n">
        <v>0</v>
      </c>
      <c r="G916" t="n">
        <v>0</v>
      </c>
      <c r="H916">
        <f>AVERAGE(D19389:G19389)</f>
        <v/>
      </c>
    </row>
    <row r="917">
      <c r="A917" t="inlineStr">
        <is>
          <t>36546534</t>
        </is>
      </c>
      <c r="B917" t="inlineStr">
        <is>
          <t>PRODUCTO 40E10B</t>
        </is>
      </c>
      <c r="C917" t="inlineStr">
        <is>
          <t>Miraflores</t>
        </is>
      </c>
      <c r="D917" t="n">
        <v>0</v>
      </c>
      <c r="E917" t="n">
        <v>0</v>
      </c>
      <c r="F917" t="n">
        <v>0</v>
      </c>
      <c r="G917" t="n">
        <v>0</v>
      </c>
      <c r="H917">
        <f>AVERAGE(D19682:G19682)</f>
        <v/>
      </c>
    </row>
    <row r="918">
      <c r="A918" t="inlineStr">
        <is>
          <t>36546534</t>
        </is>
      </c>
      <c r="B918" t="inlineStr">
        <is>
          <t>PRODUCTO 40E10B</t>
        </is>
      </c>
      <c r="C918" t="inlineStr">
        <is>
          <t>Salaverry</t>
        </is>
      </c>
      <c r="D918" t="n">
        <v>0</v>
      </c>
      <c r="E918" t="n">
        <v>0</v>
      </c>
      <c r="F918" t="n">
        <v>0</v>
      </c>
      <c r="G918" t="n">
        <v>0</v>
      </c>
      <c r="H918">
        <f>AVERAGE(D19689:G19689)</f>
        <v/>
      </c>
    </row>
    <row r="919">
      <c r="A919" t="inlineStr">
        <is>
          <t>36546534</t>
        </is>
      </c>
      <c r="B919" t="inlineStr">
        <is>
          <t>PRODUCTO 40E10B</t>
        </is>
      </c>
      <c r="C919" t="inlineStr">
        <is>
          <t>Piura</t>
        </is>
      </c>
      <c r="D919" t="n">
        <v>0</v>
      </c>
      <c r="E919" t="n">
        <v>0</v>
      </c>
      <c r="F919" t="n">
        <v>0</v>
      </c>
      <c r="G919" t="n">
        <v>0</v>
      </c>
      <c r="H919">
        <f>AVERAGE(D19695:G19695)</f>
        <v/>
      </c>
    </row>
    <row r="920">
      <c r="A920" t="inlineStr">
        <is>
          <t>36574936</t>
        </is>
      </c>
      <c r="B920" t="inlineStr">
        <is>
          <t>PRODUCTO 604D6E</t>
        </is>
      </c>
      <c r="C920" t="inlineStr">
        <is>
          <t>Miraflores</t>
        </is>
      </c>
      <c r="D920" t="n">
        <v>0</v>
      </c>
      <c r="E920" t="n">
        <v>0</v>
      </c>
      <c r="F920" t="n">
        <v>0</v>
      </c>
      <c r="G920" t="n">
        <v>0</v>
      </c>
      <c r="H920">
        <f>AVERAGE(D19718:G19718)</f>
        <v/>
      </c>
    </row>
    <row r="921">
      <c r="A921" t="inlineStr">
        <is>
          <t>36574936</t>
        </is>
      </c>
      <c r="B921" t="inlineStr">
        <is>
          <t>PRODUCTO 604D6E</t>
        </is>
      </c>
      <c r="C921" t="inlineStr">
        <is>
          <t>Salaverry</t>
        </is>
      </c>
      <c r="D921" t="n">
        <v>0</v>
      </c>
      <c r="E921" t="n">
        <v>0</v>
      </c>
      <c r="F921" t="n">
        <v>0</v>
      </c>
      <c r="G921" t="n">
        <v>0</v>
      </c>
      <c r="H921">
        <f>AVERAGE(D19723:G19723)</f>
        <v/>
      </c>
    </row>
    <row r="922">
      <c r="A922" t="inlineStr">
        <is>
          <t>36574936</t>
        </is>
      </c>
      <c r="B922" t="inlineStr">
        <is>
          <t>PRODUCTO 604D6E</t>
        </is>
      </c>
      <c r="C922" t="inlineStr">
        <is>
          <t>Piura</t>
        </is>
      </c>
      <c r="D922" t="n">
        <v>0</v>
      </c>
      <c r="E922" t="n">
        <v>0</v>
      </c>
      <c r="F922" t="n">
        <v>0</v>
      </c>
      <c r="G922" t="n">
        <v>0</v>
      </c>
      <c r="H922">
        <f>AVERAGE(D19729:G19729)</f>
        <v/>
      </c>
    </row>
    <row r="923">
      <c r="A923" t="inlineStr">
        <is>
          <t>36591674</t>
        </is>
      </c>
      <c r="B923" t="inlineStr">
        <is>
          <t>PRODUCTO 971F2A</t>
        </is>
      </c>
      <c r="C923" t="inlineStr">
        <is>
          <t>Salaverry</t>
        </is>
      </c>
      <c r="D923" t="n">
        <v>0</v>
      </c>
      <c r="E923" t="n">
        <v>0</v>
      </c>
      <c r="F923" t="n">
        <v>0</v>
      </c>
      <c r="G923" t="n">
        <v>0</v>
      </c>
      <c r="H923">
        <f>AVERAGE(D19746:G19746)</f>
        <v/>
      </c>
    </row>
    <row r="924">
      <c r="A924" t="inlineStr">
        <is>
          <t>36622310</t>
        </is>
      </c>
      <c r="B924" t="inlineStr">
        <is>
          <t>PRODUCTO C8C8C0</t>
        </is>
      </c>
      <c r="C924" t="inlineStr">
        <is>
          <t>Salaverry</t>
        </is>
      </c>
      <c r="D924" t="n">
        <v>0</v>
      </c>
      <c r="E924" t="n">
        <v>0</v>
      </c>
      <c r="F924" t="n">
        <v>0</v>
      </c>
      <c r="G924" t="n">
        <v>0</v>
      </c>
      <c r="H924">
        <f>AVERAGE(D19771:G19771)</f>
        <v/>
      </c>
    </row>
    <row r="925">
      <c r="A925" t="inlineStr">
        <is>
          <t>36622310</t>
        </is>
      </c>
      <c r="B925" t="inlineStr">
        <is>
          <t>PRODUCTO C8C8C0</t>
        </is>
      </c>
      <c r="C925" t="inlineStr">
        <is>
          <t>Piura</t>
        </is>
      </c>
      <c r="D925" t="n">
        <v>0</v>
      </c>
      <c r="E925" t="n">
        <v>0</v>
      </c>
      <c r="F925" t="n">
        <v>0</v>
      </c>
      <c r="G925" t="n">
        <v>0</v>
      </c>
      <c r="H925">
        <f>AVERAGE(D19775:G19775)</f>
        <v/>
      </c>
    </row>
    <row r="926">
      <c r="A926" t="inlineStr">
        <is>
          <t>36669100</t>
        </is>
      </c>
      <c r="B926" t="inlineStr">
        <is>
          <t>PRODUCTO F9BFBF</t>
        </is>
      </c>
      <c r="C926" t="inlineStr">
        <is>
          <t>San Miguel</t>
        </is>
      </c>
      <c r="D926" t="n">
        <v>0</v>
      </c>
      <c r="E926" t="n">
        <v>0</v>
      </c>
      <c r="F926" t="n">
        <v>0</v>
      </c>
      <c r="G926" t="n">
        <v>0</v>
      </c>
      <c r="H926">
        <f>AVERAGE(D19850:G19850)</f>
        <v/>
      </c>
    </row>
    <row r="927">
      <c r="A927" t="inlineStr">
        <is>
          <t>36669100</t>
        </is>
      </c>
      <c r="B927" t="inlineStr">
        <is>
          <t>PRODUCTO F9BFBF</t>
        </is>
      </c>
      <c r="C927" t="inlineStr">
        <is>
          <t>Piura</t>
        </is>
      </c>
      <c r="D927" t="n">
        <v>1</v>
      </c>
      <c r="E927" t="n">
        <v>0</v>
      </c>
      <c r="F927" t="n">
        <v>1</v>
      </c>
      <c r="G927" t="n">
        <v>2</v>
      </c>
      <c r="H927">
        <f>AVERAGE(D19855:G19855)</f>
        <v/>
      </c>
    </row>
    <row r="928">
      <c r="A928" t="inlineStr">
        <is>
          <t>36798522</t>
        </is>
      </c>
      <c r="B928" t="inlineStr">
        <is>
          <t>PRODUCTO DD7A44</t>
        </is>
      </c>
      <c r="C928" t="inlineStr">
        <is>
          <t>Jockey Plaza</t>
        </is>
      </c>
      <c r="D928" t="n">
        <v>0</v>
      </c>
      <c r="E928" t="n">
        <v>0</v>
      </c>
      <c r="F928" t="n">
        <v>0</v>
      </c>
      <c r="G928" t="n">
        <v>0</v>
      </c>
      <c r="H928">
        <f>AVERAGE(D20272:G20272)</f>
        <v/>
      </c>
    </row>
    <row r="929">
      <c r="A929" t="inlineStr">
        <is>
          <t>36798522</t>
        </is>
      </c>
      <c r="B929" t="inlineStr">
        <is>
          <t>PRODUCTO DD7A44</t>
        </is>
      </c>
      <c r="C929" t="inlineStr">
        <is>
          <t>San Miguel</t>
        </is>
      </c>
      <c r="D929" t="n">
        <v>0</v>
      </c>
      <c r="E929" t="n">
        <v>0</v>
      </c>
      <c r="F929" t="n">
        <v>0</v>
      </c>
      <c r="G929" t="n">
        <v>0</v>
      </c>
      <c r="H929">
        <f>AVERAGE(D20273:G20273)</f>
        <v/>
      </c>
    </row>
    <row r="930">
      <c r="A930" t="inlineStr">
        <is>
          <t>36798522</t>
        </is>
      </c>
      <c r="B930" t="inlineStr">
        <is>
          <t>PRODUCTO DD7A44</t>
        </is>
      </c>
      <c r="C930" t="inlineStr">
        <is>
          <t>Miraflores</t>
        </is>
      </c>
      <c r="D930" t="n">
        <v>0</v>
      </c>
      <c r="E930" t="n">
        <v>0</v>
      </c>
      <c r="F930" t="n">
        <v>0</v>
      </c>
      <c r="G930" t="n">
        <v>0</v>
      </c>
      <c r="H930">
        <f>AVERAGE(D20274:G20274)</f>
        <v/>
      </c>
    </row>
    <row r="931">
      <c r="A931" t="inlineStr">
        <is>
          <t>36798522</t>
        </is>
      </c>
      <c r="B931" t="inlineStr">
        <is>
          <t>PRODUCTO DD7A44</t>
        </is>
      </c>
      <c r="C931" t="inlineStr">
        <is>
          <t>Salaverry</t>
        </is>
      </c>
      <c r="D931" t="n">
        <v>0</v>
      </c>
      <c r="E931" t="n">
        <v>0</v>
      </c>
      <c r="F931" t="n">
        <v>0</v>
      </c>
      <c r="G931" t="n">
        <v>0</v>
      </c>
      <c r="H931">
        <f>AVERAGE(D20283:G20283)</f>
        <v/>
      </c>
    </row>
    <row r="932">
      <c r="A932" t="inlineStr">
        <is>
          <t>36798522</t>
        </is>
      </c>
      <c r="B932" t="inlineStr">
        <is>
          <t>PRODUCTO DD7A44</t>
        </is>
      </c>
      <c r="C932" t="inlineStr">
        <is>
          <t>San Borja</t>
        </is>
      </c>
      <c r="D932" t="n">
        <v>-2</v>
      </c>
      <c r="E932" t="n">
        <v>-2</v>
      </c>
      <c r="F932" t="n">
        <v>-3</v>
      </c>
      <c r="G932" t="n">
        <v>-2</v>
      </c>
      <c r="H932">
        <f>AVERAGE(D20284:G20284)</f>
        <v/>
      </c>
    </row>
    <row r="933">
      <c r="A933" t="inlineStr">
        <is>
          <t>36798522</t>
        </is>
      </c>
      <c r="B933" t="inlineStr">
        <is>
          <t>PRODUCTO DD7A44</t>
        </is>
      </c>
      <c r="C933" t="inlineStr">
        <is>
          <t>Piura</t>
        </is>
      </c>
      <c r="D933" t="n">
        <v>1</v>
      </c>
      <c r="E933" t="n">
        <v>1</v>
      </c>
      <c r="F933" t="n">
        <v>1</v>
      </c>
      <c r="G933" t="n">
        <v>1</v>
      </c>
      <c r="H933">
        <f>AVERAGE(D20292:G20292)</f>
        <v/>
      </c>
    </row>
    <row r="934">
      <c r="A934" t="inlineStr">
        <is>
          <t>36838762</t>
        </is>
      </c>
      <c r="B934" t="inlineStr">
        <is>
          <t>PRODUCTO 0EB13C</t>
        </is>
      </c>
      <c r="C934" t="inlineStr">
        <is>
          <t>Jockey Plaza</t>
        </is>
      </c>
      <c r="D934" t="n">
        <v>6</v>
      </c>
      <c r="E934" t="n">
        <v>5</v>
      </c>
      <c r="F934" t="n">
        <v>5</v>
      </c>
      <c r="G934" t="n">
        <v>4</v>
      </c>
      <c r="H934">
        <f>AVERAGE(D20501:G20501)</f>
        <v/>
      </c>
    </row>
    <row r="935">
      <c r="A935" t="inlineStr">
        <is>
          <t>36838762</t>
        </is>
      </c>
      <c r="B935" t="inlineStr">
        <is>
          <t>PRODUCTO 0EB13C</t>
        </is>
      </c>
      <c r="C935" t="inlineStr">
        <is>
          <t>San Miguel</t>
        </is>
      </c>
      <c r="D935" t="n">
        <v>1</v>
      </c>
      <c r="E935" t="n">
        <v>1</v>
      </c>
      <c r="F935" t="n">
        <v>1</v>
      </c>
      <c r="G935" t="n">
        <v>1</v>
      </c>
      <c r="H935">
        <f>AVERAGE(D20502:G20502)</f>
        <v/>
      </c>
    </row>
    <row r="936">
      <c r="A936" t="inlineStr">
        <is>
          <t>36838762</t>
        </is>
      </c>
      <c r="B936" t="inlineStr">
        <is>
          <t>PRODUCTO 0EB13C</t>
        </is>
      </c>
      <c r="C936" t="inlineStr">
        <is>
          <t>Miraflores</t>
        </is>
      </c>
      <c r="D936" t="n">
        <v>1</v>
      </c>
      <c r="E936" t="n">
        <v>1</v>
      </c>
      <c r="F936" t="n">
        <v>1</v>
      </c>
      <c r="G936" t="n">
        <v>1</v>
      </c>
      <c r="H936">
        <f>AVERAGE(D20503:G20503)</f>
        <v/>
      </c>
    </row>
    <row r="937">
      <c r="A937" t="inlineStr">
        <is>
          <t>36838762</t>
        </is>
      </c>
      <c r="B937" t="inlineStr">
        <is>
          <t>PRODUCTO 0EB13C</t>
        </is>
      </c>
      <c r="C937" t="inlineStr">
        <is>
          <t>Salaverry</t>
        </is>
      </c>
      <c r="D937" t="n">
        <v>1</v>
      </c>
      <c r="E937" t="n">
        <v>1</v>
      </c>
      <c r="F937" t="n">
        <v>1</v>
      </c>
      <c r="G937" t="n">
        <v>1</v>
      </c>
      <c r="H937">
        <f>AVERAGE(D20512:G20512)</f>
        <v/>
      </c>
    </row>
    <row r="938">
      <c r="A938" t="inlineStr">
        <is>
          <t>36838762</t>
        </is>
      </c>
      <c r="B938" t="inlineStr">
        <is>
          <t>PRODUCTO 0EB13C</t>
        </is>
      </c>
      <c r="C938" t="inlineStr">
        <is>
          <t>San Borja</t>
        </is>
      </c>
      <c r="D938" t="n">
        <v>1</v>
      </c>
      <c r="E938" t="n">
        <v>1</v>
      </c>
      <c r="F938" t="n">
        <v>1</v>
      </c>
      <c r="G938" t="n">
        <v>1</v>
      </c>
      <c r="H938">
        <f>AVERAGE(D20513:G20513)</f>
        <v/>
      </c>
    </row>
    <row r="939">
      <c r="A939" t="inlineStr">
        <is>
          <t>36838762</t>
        </is>
      </c>
      <c r="B939" t="inlineStr">
        <is>
          <t>PRODUCTO 0EB13C</t>
        </is>
      </c>
      <c r="C939" t="inlineStr">
        <is>
          <t>Piura</t>
        </is>
      </c>
      <c r="D939" t="n">
        <v>1</v>
      </c>
      <c r="E939" t="n">
        <v>1</v>
      </c>
      <c r="F939" t="n">
        <v>1</v>
      </c>
      <c r="G939" t="n">
        <v>1</v>
      </c>
      <c r="H939">
        <f>AVERAGE(D20521:G20521)</f>
        <v/>
      </c>
    </row>
    <row r="940">
      <c r="A940" t="inlineStr">
        <is>
          <t>36872662</t>
        </is>
      </c>
      <c r="B940" t="inlineStr">
        <is>
          <t>PRODUCTO 1DA53A</t>
        </is>
      </c>
      <c r="C940" t="inlineStr">
        <is>
          <t>Jockey Plaza</t>
        </is>
      </c>
      <c r="D940" t="n">
        <v>0</v>
      </c>
      <c r="E940" t="n">
        <v>0</v>
      </c>
      <c r="F940" t="n">
        <v>0</v>
      </c>
      <c r="G940" t="n">
        <v>0</v>
      </c>
      <c r="H940">
        <f>AVERAGE(D20704:G20704)</f>
        <v/>
      </c>
    </row>
    <row r="941">
      <c r="A941" t="inlineStr">
        <is>
          <t>36872662</t>
        </is>
      </c>
      <c r="B941" t="inlineStr">
        <is>
          <t>PRODUCTO 1DA53A</t>
        </is>
      </c>
      <c r="C941" t="inlineStr">
        <is>
          <t>San Miguel</t>
        </is>
      </c>
      <c r="D941" t="n">
        <v>0</v>
      </c>
      <c r="E941" t="n">
        <v>0</v>
      </c>
      <c r="F941" t="n">
        <v>0</v>
      </c>
      <c r="G941" t="n">
        <v>0</v>
      </c>
      <c r="H941">
        <f>AVERAGE(D20705:G20705)</f>
        <v/>
      </c>
    </row>
    <row r="942">
      <c r="A942" t="inlineStr">
        <is>
          <t>36872662</t>
        </is>
      </c>
      <c r="B942" t="inlineStr">
        <is>
          <t>PRODUCTO 1DA53A</t>
        </is>
      </c>
      <c r="C942" t="inlineStr">
        <is>
          <t>Salaverry</t>
        </is>
      </c>
      <c r="D942" t="n">
        <v>0</v>
      </c>
      <c r="E942" t="n">
        <v>0</v>
      </c>
      <c r="F942" t="n">
        <v>0</v>
      </c>
      <c r="G942" t="n">
        <v>0</v>
      </c>
      <c r="H942">
        <f>AVERAGE(D20709:G20709)</f>
        <v/>
      </c>
    </row>
    <row r="943">
      <c r="A943" t="inlineStr">
        <is>
          <t>36872662</t>
        </is>
      </c>
      <c r="B943" t="inlineStr">
        <is>
          <t>PRODUCTO 1DA53A</t>
        </is>
      </c>
      <c r="C943" t="inlineStr">
        <is>
          <t>San Borja</t>
        </is>
      </c>
      <c r="D943" t="n">
        <v>0</v>
      </c>
      <c r="E943" t="n">
        <v>0</v>
      </c>
      <c r="F943" t="n">
        <v>0</v>
      </c>
      <c r="G943" t="n">
        <v>0</v>
      </c>
      <c r="H943">
        <f>AVERAGE(D20710:G20710)</f>
        <v/>
      </c>
    </row>
    <row r="944">
      <c r="A944" t="inlineStr">
        <is>
          <t>36878770</t>
        </is>
      </c>
      <c r="B944" t="inlineStr">
        <is>
          <t>PRODUCTO C9368C</t>
        </is>
      </c>
      <c r="C944" t="inlineStr">
        <is>
          <t>Jockey Plaza</t>
        </is>
      </c>
      <c r="D944" t="n">
        <v>1</v>
      </c>
      <c r="E944" t="n">
        <v>1</v>
      </c>
      <c r="F944" t="n">
        <v>1</v>
      </c>
      <c r="G944" t="n">
        <v>1</v>
      </c>
      <c r="H944">
        <f>AVERAGE(D20836:G20836)</f>
        <v/>
      </c>
    </row>
    <row r="945">
      <c r="A945" t="inlineStr">
        <is>
          <t>36878770</t>
        </is>
      </c>
      <c r="B945" t="inlineStr">
        <is>
          <t>PRODUCTO C9368C</t>
        </is>
      </c>
      <c r="C945" t="inlineStr">
        <is>
          <t>San Miguel</t>
        </is>
      </c>
      <c r="D945" t="n">
        <v>0</v>
      </c>
      <c r="E945" t="n">
        <v>0</v>
      </c>
      <c r="F945" t="n">
        <v>0</v>
      </c>
      <c r="G945" t="n">
        <v>0</v>
      </c>
      <c r="H945">
        <f>AVERAGE(D20837:G20837)</f>
        <v/>
      </c>
    </row>
    <row r="946">
      <c r="A946" t="inlineStr">
        <is>
          <t>36878770</t>
        </is>
      </c>
      <c r="B946" t="inlineStr">
        <is>
          <t>PRODUCTO C9368C</t>
        </is>
      </c>
      <c r="C946" t="inlineStr">
        <is>
          <t>Miraflores</t>
        </is>
      </c>
      <c r="D946" t="n">
        <v>0</v>
      </c>
      <c r="E946" t="n">
        <v>0</v>
      </c>
      <c r="F946" t="n">
        <v>0</v>
      </c>
      <c r="G946" t="n">
        <v>0</v>
      </c>
      <c r="H946">
        <f>AVERAGE(D20838:G20838)</f>
        <v/>
      </c>
    </row>
    <row r="947">
      <c r="A947" t="inlineStr">
        <is>
          <t>36878770</t>
        </is>
      </c>
      <c r="B947" t="inlineStr">
        <is>
          <t>PRODUCTO C9368C</t>
        </is>
      </c>
      <c r="C947" t="inlineStr">
        <is>
          <t>Salaverry</t>
        </is>
      </c>
      <c r="D947" t="n">
        <v>1</v>
      </c>
      <c r="E947" t="n">
        <v>1</v>
      </c>
      <c r="F947" t="n">
        <v>1</v>
      </c>
      <c r="G947" t="n">
        <v>1</v>
      </c>
      <c r="H947">
        <f>AVERAGE(D20847:G20847)</f>
        <v/>
      </c>
    </row>
    <row r="948">
      <c r="A948" t="inlineStr">
        <is>
          <t>36878770</t>
        </is>
      </c>
      <c r="B948" t="inlineStr">
        <is>
          <t>PRODUCTO C9368C</t>
        </is>
      </c>
      <c r="C948" t="inlineStr">
        <is>
          <t>San Borja</t>
        </is>
      </c>
      <c r="D948" t="n">
        <v>3</v>
      </c>
      <c r="E948" t="n">
        <v>2</v>
      </c>
      <c r="F948" t="n">
        <v>3</v>
      </c>
      <c r="G948" t="n">
        <v>3</v>
      </c>
      <c r="H948">
        <f>AVERAGE(D20848:G20848)</f>
        <v/>
      </c>
    </row>
    <row r="949">
      <c r="A949" t="inlineStr">
        <is>
          <t>36878770</t>
        </is>
      </c>
      <c r="B949" t="inlineStr">
        <is>
          <t>PRODUCTO C9368C</t>
        </is>
      </c>
      <c r="C949" t="inlineStr">
        <is>
          <t>Piura</t>
        </is>
      </c>
      <c r="D949" t="n">
        <v>2</v>
      </c>
      <c r="E949" t="n">
        <v>1</v>
      </c>
      <c r="F949" t="n">
        <v>2</v>
      </c>
      <c r="G949" t="n">
        <v>2</v>
      </c>
      <c r="H949">
        <f>AVERAGE(D20856:G20856)</f>
        <v/>
      </c>
    </row>
    <row r="950">
      <c r="A950" t="inlineStr">
        <is>
          <t>36878775</t>
        </is>
      </c>
      <c r="B950" t="inlineStr">
        <is>
          <t>PRODUCTO 37E2D3</t>
        </is>
      </c>
      <c r="C950" t="inlineStr">
        <is>
          <t>Jockey Plaza</t>
        </is>
      </c>
      <c r="D950" t="n">
        <v>2</v>
      </c>
      <c r="E950" t="n">
        <v>3</v>
      </c>
      <c r="F950" t="n">
        <v>3</v>
      </c>
      <c r="G950" t="n">
        <v>2</v>
      </c>
      <c r="H950">
        <f>AVERAGE(D20866:G20866)</f>
        <v/>
      </c>
    </row>
    <row r="951">
      <c r="A951" t="inlineStr">
        <is>
          <t>36878775</t>
        </is>
      </c>
      <c r="B951" t="inlineStr">
        <is>
          <t>PRODUCTO 37E2D3</t>
        </is>
      </c>
      <c r="C951" t="inlineStr">
        <is>
          <t>San Miguel</t>
        </is>
      </c>
      <c r="D951" t="n">
        <v>1</v>
      </c>
      <c r="E951" t="n">
        <v>1</v>
      </c>
      <c r="F951" t="n">
        <v>1</v>
      </c>
      <c r="G951" t="n">
        <v>1</v>
      </c>
      <c r="H951">
        <f>AVERAGE(D20867:G20867)</f>
        <v/>
      </c>
    </row>
    <row r="952">
      <c r="A952" t="inlineStr">
        <is>
          <t>36878775</t>
        </is>
      </c>
      <c r="B952" t="inlineStr">
        <is>
          <t>PRODUCTO 37E2D3</t>
        </is>
      </c>
      <c r="C952" t="inlineStr">
        <is>
          <t>Miraflores</t>
        </is>
      </c>
      <c r="D952" t="n">
        <v>0</v>
      </c>
      <c r="E952" t="n">
        <v>0</v>
      </c>
      <c r="F952" t="n">
        <v>0</v>
      </c>
      <c r="G952" t="n">
        <v>0</v>
      </c>
      <c r="H952">
        <f>AVERAGE(D20868:G20868)</f>
        <v/>
      </c>
    </row>
    <row r="953">
      <c r="A953" t="inlineStr">
        <is>
          <t>36878775</t>
        </is>
      </c>
      <c r="B953" t="inlineStr">
        <is>
          <t>PRODUCTO 37E2D3</t>
        </is>
      </c>
      <c r="C953" t="inlineStr">
        <is>
          <t>Salaverry</t>
        </is>
      </c>
      <c r="D953" t="n">
        <v>0</v>
      </c>
      <c r="E953" t="n">
        <v>0</v>
      </c>
      <c r="F953" t="n">
        <v>0</v>
      </c>
      <c r="G953" t="n">
        <v>0</v>
      </c>
      <c r="H953">
        <f>AVERAGE(D20877:G20877)</f>
        <v/>
      </c>
    </row>
    <row r="954">
      <c r="A954" t="inlineStr">
        <is>
          <t>36878775</t>
        </is>
      </c>
      <c r="B954" t="inlineStr">
        <is>
          <t>PRODUCTO 37E2D3</t>
        </is>
      </c>
      <c r="C954" t="inlineStr">
        <is>
          <t>San Borja</t>
        </is>
      </c>
      <c r="D954" t="n">
        <v>1</v>
      </c>
      <c r="E954" t="n">
        <v>1</v>
      </c>
      <c r="F954" t="n">
        <v>1</v>
      </c>
      <c r="G954" t="n">
        <v>1</v>
      </c>
      <c r="H954">
        <f>AVERAGE(D20878:G20878)</f>
        <v/>
      </c>
    </row>
    <row r="955">
      <c r="A955" t="inlineStr">
        <is>
          <t>36878775</t>
        </is>
      </c>
      <c r="B955" t="inlineStr">
        <is>
          <t>PRODUCTO 37E2D3</t>
        </is>
      </c>
      <c r="C955" t="inlineStr">
        <is>
          <t>Piura</t>
        </is>
      </c>
      <c r="D955" t="n">
        <v>1</v>
      </c>
      <c r="E955" t="n">
        <v>1</v>
      </c>
      <c r="F955" t="n">
        <v>1</v>
      </c>
      <c r="G955" t="n">
        <v>1</v>
      </c>
      <c r="H955">
        <f>AVERAGE(D20886:G20886)</f>
        <v/>
      </c>
    </row>
    <row r="956">
      <c r="A956" t="inlineStr">
        <is>
          <t>36896421</t>
        </is>
      </c>
      <c r="B956" t="inlineStr">
        <is>
          <t>PRODUCTO FC4316</t>
        </is>
      </c>
      <c r="C956" t="inlineStr">
        <is>
          <t>Jockey Plaza</t>
        </is>
      </c>
      <c r="D956" t="n">
        <v>0</v>
      </c>
      <c r="E956" t="n">
        <v>0</v>
      </c>
      <c r="F956" t="n">
        <v>0</v>
      </c>
      <c r="G956" t="n">
        <v>0</v>
      </c>
      <c r="H956">
        <f>AVERAGE(D20950:G20950)</f>
        <v/>
      </c>
    </row>
    <row r="957">
      <c r="A957" t="inlineStr">
        <is>
          <t>36896421</t>
        </is>
      </c>
      <c r="B957" t="inlineStr">
        <is>
          <t>PRODUCTO FC4316</t>
        </is>
      </c>
      <c r="C957" t="inlineStr">
        <is>
          <t>San Miguel</t>
        </is>
      </c>
      <c r="D957" t="n">
        <v>6</v>
      </c>
      <c r="E957" t="n">
        <v>3</v>
      </c>
      <c r="F957" t="n">
        <v>5</v>
      </c>
      <c r="G957" t="n">
        <v>3</v>
      </c>
      <c r="H957">
        <f>AVERAGE(D20951:G20951)</f>
        <v/>
      </c>
    </row>
    <row r="958">
      <c r="A958" t="inlineStr">
        <is>
          <t>36896421</t>
        </is>
      </c>
      <c r="B958" t="inlineStr">
        <is>
          <t>PRODUCTO FC4316</t>
        </is>
      </c>
      <c r="C958" t="inlineStr">
        <is>
          <t>Miraflores</t>
        </is>
      </c>
      <c r="D958" t="n">
        <v>1</v>
      </c>
      <c r="E958" t="n">
        <v>0</v>
      </c>
      <c r="F958" t="n">
        <v>1</v>
      </c>
      <c r="G958" t="n">
        <v>0</v>
      </c>
      <c r="H958">
        <f>AVERAGE(D20952:G20952)</f>
        <v/>
      </c>
    </row>
    <row r="959">
      <c r="A959" t="inlineStr">
        <is>
          <t>36896421</t>
        </is>
      </c>
      <c r="B959" t="inlineStr">
        <is>
          <t>PRODUCTO FC4316</t>
        </is>
      </c>
      <c r="C959" t="inlineStr">
        <is>
          <t>Salaverry</t>
        </is>
      </c>
      <c r="D959" t="n">
        <v>0</v>
      </c>
      <c r="E959" t="n">
        <v>0</v>
      </c>
      <c r="F959" t="n">
        <v>0</v>
      </c>
      <c r="G959" t="n">
        <v>0</v>
      </c>
      <c r="H959">
        <f>AVERAGE(D20961:G20961)</f>
        <v/>
      </c>
    </row>
    <row r="960">
      <c r="A960" t="inlineStr">
        <is>
          <t>36896421</t>
        </is>
      </c>
      <c r="B960" t="inlineStr">
        <is>
          <t>PRODUCTO FC4316</t>
        </is>
      </c>
      <c r="C960" t="inlineStr">
        <is>
          <t>San Borja</t>
        </is>
      </c>
      <c r="D960" t="n">
        <v>3</v>
      </c>
      <c r="E960" t="n">
        <v>1</v>
      </c>
      <c r="F960" t="n">
        <v>3</v>
      </c>
      <c r="G960" t="n">
        <v>1</v>
      </c>
      <c r="H960">
        <f>AVERAGE(D20962:G20962)</f>
        <v/>
      </c>
    </row>
    <row r="961">
      <c r="A961" t="inlineStr">
        <is>
          <t>36896421</t>
        </is>
      </c>
      <c r="B961" t="inlineStr">
        <is>
          <t>PRODUCTO FC4316</t>
        </is>
      </c>
      <c r="C961" t="inlineStr">
        <is>
          <t>Piura</t>
        </is>
      </c>
      <c r="D961" t="n">
        <v>2</v>
      </c>
      <c r="E961" t="n">
        <v>1</v>
      </c>
      <c r="F961" t="n">
        <v>2</v>
      </c>
      <c r="G961" t="n">
        <v>1</v>
      </c>
      <c r="H961">
        <f>AVERAGE(D20970:G20970)</f>
        <v/>
      </c>
    </row>
    <row r="962">
      <c r="A962" t="inlineStr">
        <is>
          <t>36900734</t>
        </is>
      </c>
      <c r="B962" t="inlineStr">
        <is>
          <t>PRODUCTO 0DEABF</t>
        </is>
      </c>
      <c r="C962" t="inlineStr">
        <is>
          <t>Jockey Plaza</t>
        </is>
      </c>
      <c r="D962" t="n">
        <v>4</v>
      </c>
      <c r="E962" t="n">
        <v>3</v>
      </c>
      <c r="F962" t="n">
        <v>2</v>
      </c>
      <c r="G962" t="n">
        <v>0</v>
      </c>
      <c r="H962">
        <f>AVERAGE(D21046:G21046)</f>
        <v/>
      </c>
    </row>
    <row r="963">
      <c r="A963" t="inlineStr">
        <is>
          <t>36900734</t>
        </is>
      </c>
      <c r="B963" t="inlineStr">
        <is>
          <t>PRODUCTO 0DEABF</t>
        </is>
      </c>
      <c r="C963" t="inlineStr">
        <is>
          <t>San Miguel</t>
        </is>
      </c>
      <c r="D963" t="n">
        <v>2</v>
      </c>
      <c r="E963" t="n">
        <v>1</v>
      </c>
      <c r="F963" t="n">
        <v>1</v>
      </c>
      <c r="G963" t="n">
        <v>0</v>
      </c>
      <c r="H963">
        <f>AVERAGE(D21047:G21047)</f>
        <v/>
      </c>
    </row>
    <row r="964">
      <c r="A964" t="inlineStr">
        <is>
          <t>36900734</t>
        </is>
      </c>
      <c r="B964" t="inlineStr">
        <is>
          <t>PRODUCTO 0DEABF</t>
        </is>
      </c>
      <c r="C964" t="inlineStr">
        <is>
          <t>Miraflores</t>
        </is>
      </c>
      <c r="D964" t="n">
        <v>3</v>
      </c>
      <c r="E964" t="n">
        <v>2</v>
      </c>
      <c r="F964" t="n">
        <v>1</v>
      </c>
      <c r="G964" t="n">
        <v>0</v>
      </c>
      <c r="H964">
        <f>AVERAGE(D21048:G21048)</f>
        <v/>
      </c>
    </row>
    <row r="965">
      <c r="A965" t="inlineStr">
        <is>
          <t>36900734</t>
        </is>
      </c>
      <c r="B965" t="inlineStr">
        <is>
          <t>PRODUCTO 0DEABF</t>
        </is>
      </c>
      <c r="C965" t="inlineStr">
        <is>
          <t>Salaverry</t>
        </is>
      </c>
      <c r="D965" t="n">
        <v>1</v>
      </c>
      <c r="E965" t="n">
        <v>1</v>
      </c>
      <c r="F965" t="n">
        <v>0</v>
      </c>
      <c r="G965" t="n">
        <v>0</v>
      </c>
      <c r="H965">
        <f>AVERAGE(D21057:G21057)</f>
        <v/>
      </c>
    </row>
    <row r="966">
      <c r="A966" t="inlineStr">
        <is>
          <t>36900734</t>
        </is>
      </c>
      <c r="B966" t="inlineStr">
        <is>
          <t>PRODUCTO 0DEABF</t>
        </is>
      </c>
      <c r="C966" t="inlineStr">
        <is>
          <t>San Borja</t>
        </is>
      </c>
      <c r="D966" t="n">
        <v>2</v>
      </c>
      <c r="E966" t="n">
        <v>1</v>
      </c>
      <c r="F966" t="n">
        <v>1</v>
      </c>
      <c r="G966" t="n">
        <v>0</v>
      </c>
      <c r="H966">
        <f>AVERAGE(D21058:G21058)</f>
        <v/>
      </c>
    </row>
    <row r="967">
      <c r="A967" t="inlineStr">
        <is>
          <t>36900734</t>
        </is>
      </c>
      <c r="B967" t="inlineStr">
        <is>
          <t>PRODUCTO 0DEABF</t>
        </is>
      </c>
      <c r="C967" t="inlineStr">
        <is>
          <t>Piura</t>
        </is>
      </c>
      <c r="D967" t="n">
        <v>8</v>
      </c>
      <c r="E967" t="n">
        <v>6</v>
      </c>
      <c r="F967" t="n">
        <v>4</v>
      </c>
      <c r="G967" t="n">
        <v>0</v>
      </c>
      <c r="H967">
        <f>AVERAGE(D21066:G21066)</f>
        <v/>
      </c>
    </row>
    <row r="968">
      <c r="A968" t="inlineStr">
        <is>
          <t>36900747</t>
        </is>
      </c>
      <c r="B968" t="inlineStr">
        <is>
          <t>PRODUCTO D0D651</t>
        </is>
      </c>
      <c r="C968" t="inlineStr">
        <is>
          <t>Jockey Plaza</t>
        </is>
      </c>
      <c r="D968" t="n">
        <v>12</v>
      </c>
      <c r="E968" t="n">
        <v>5</v>
      </c>
      <c r="F968" t="n">
        <v>7</v>
      </c>
      <c r="G968" t="n">
        <v>0</v>
      </c>
      <c r="H968">
        <f>AVERAGE(D21077:G21077)</f>
        <v/>
      </c>
    </row>
    <row r="969">
      <c r="A969" t="inlineStr">
        <is>
          <t>36900747</t>
        </is>
      </c>
      <c r="B969" t="inlineStr">
        <is>
          <t>PRODUCTO D0D651</t>
        </is>
      </c>
      <c r="C969" t="inlineStr">
        <is>
          <t>San Miguel</t>
        </is>
      </c>
      <c r="D969" t="n">
        <v>3</v>
      </c>
      <c r="E969" t="n">
        <v>1</v>
      </c>
      <c r="F969" t="n">
        <v>2</v>
      </c>
      <c r="G969" t="n">
        <v>0</v>
      </c>
      <c r="H969">
        <f>AVERAGE(D21078:G21078)</f>
        <v/>
      </c>
    </row>
    <row r="970">
      <c r="A970" t="inlineStr">
        <is>
          <t>36900747</t>
        </is>
      </c>
      <c r="B970" t="inlineStr">
        <is>
          <t>PRODUCTO D0D651</t>
        </is>
      </c>
      <c r="C970" t="inlineStr">
        <is>
          <t>Miraflores</t>
        </is>
      </c>
      <c r="D970" t="n">
        <v>3</v>
      </c>
      <c r="E970" t="n">
        <v>1</v>
      </c>
      <c r="F970" t="n">
        <v>2</v>
      </c>
      <c r="G970" t="n">
        <v>0</v>
      </c>
      <c r="H970">
        <f>AVERAGE(D21079:G21079)</f>
        <v/>
      </c>
    </row>
    <row r="971">
      <c r="A971" t="inlineStr">
        <is>
          <t>36900747</t>
        </is>
      </c>
      <c r="B971" t="inlineStr">
        <is>
          <t>PRODUCTO D0D651</t>
        </is>
      </c>
      <c r="C971" t="inlineStr">
        <is>
          <t>Salaverry</t>
        </is>
      </c>
      <c r="D971" t="n">
        <v>2</v>
      </c>
      <c r="E971" t="n">
        <v>1</v>
      </c>
      <c r="F971" t="n">
        <v>1</v>
      </c>
      <c r="G971" t="n">
        <v>0</v>
      </c>
      <c r="H971">
        <f>AVERAGE(D21088:G21088)</f>
        <v/>
      </c>
    </row>
    <row r="972">
      <c r="A972" t="inlineStr">
        <is>
          <t>36900747</t>
        </is>
      </c>
      <c r="B972" t="inlineStr">
        <is>
          <t>PRODUCTO D0D651</t>
        </is>
      </c>
      <c r="C972" t="inlineStr">
        <is>
          <t>San Borja</t>
        </is>
      </c>
      <c r="D972" t="n">
        <v>3</v>
      </c>
      <c r="E972" t="n">
        <v>1</v>
      </c>
      <c r="F972" t="n">
        <v>2</v>
      </c>
      <c r="G972" t="n">
        <v>0</v>
      </c>
      <c r="H972">
        <f>AVERAGE(D21089:G21089)</f>
        <v/>
      </c>
    </row>
    <row r="973">
      <c r="A973" t="inlineStr">
        <is>
          <t>36900747</t>
        </is>
      </c>
      <c r="B973" t="inlineStr">
        <is>
          <t>PRODUCTO D0D651</t>
        </is>
      </c>
      <c r="C973" t="inlineStr">
        <is>
          <t>Piura</t>
        </is>
      </c>
      <c r="D973" t="n">
        <v>8</v>
      </c>
      <c r="E973" t="n">
        <v>4</v>
      </c>
      <c r="F973" t="n">
        <v>4</v>
      </c>
      <c r="G973" t="n">
        <v>0</v>
      </c>
      <c r="H973">
        <f>AVERAGE(D21097:G21097)</f>
        <v/>
      </c>
    </row>
    <row r="974">
      <c r="A974" t="inlineStr">
        <is>
          <t>37140364</t>
        </is>
      </c>
      <c r="B974" t="inlineStr">
        <is>
          <t>PRODUCTO F62A77</t>
        </is>
      </c>
      <c r="C974" t="inlineStr">
        <is>
          <t>Jockey Plaza</t>
        </is>
      </c>
      <c r="D974" t="n">
        <v>1</v>
      </c>
      <c r="E974" t="n">
        <v>0</v>
      </c>
      <c r="F974" t="n">
        <v>0</v>
      </c>
      <c r="G974" t="n">
        <v>0</v>
      </c>
      <c r="H974">
        <f>AVERAGE(D21177:G21177)</f>
        <v/>
      </c>
    </row>
    <row r="975">
      <c r="A975" t="inlineStr">
        <is>
          <t>37140364</t>
        </is>
      </c>
      <c r="B975" t="inlineStr">
        <is>
          <t>PRODUCTO F62A77</t>
        </is>
      </c>
      <c r="C975" t="inlineStr">
        <is>
          <t>San Miguel</t>
        </is>
      </c>
      <c r="D975" t="n">
        <v>2</v>
      </c>
      <c r="E975" t="n">
        <v>0</v>
      </c>
      <c r="F975" t="n">
        <v>0</v>
      </c>
      <c r="G975" t="n">
        <v>0</v>
      </c>
      <c r="H975">
        <f>AVERAGE(D21178:G21178)</f>
        <v/>
      </c>
    </row>
    <row r="976">
      <c r="A976" t="inlineStr">
        <is>
          <t>37140364</t>
        </is>
      </c>
      <c r="B976" t="inlineStr">
        <is>
          <t>PRODUCTO F62A77</t>
        </is>
      </c>
      <c r="C976" t="inlineStr">
        <is>
          <t>Miraflores</t>
        </is>
      </c>
      <c r="D976" t="n">
        <v>0</v>
      </c>
      <c r="E976" t="n">
        <v>0</v>
      </c>
      <c r="F976" t="n">
        <v>0</v>
      </c>
      <c r="G976" t="n">
        <v>0</v>
      </c>
      <c r="H976">
        <f>AVERAGE(D21179:G21179)</f>
        <v/>
      </c>
    </row>
    <row r="977">
      <c r="A977" t="inlineStr">
        <is>
          <t>37140364</t>
        </is>
      </c>
      <c r="B977" t="inlineStr">
        <is>
          <t>PRODUCTO F62A77</t>
        </is>
      </c>
      <c r="C977" t="inlineStr">
        <is>
          <t>Salaverry</t>
        </is>
      </c>
      <c r="D977" t="n">
        <v>0</v>
      </c>
      <c r="E977" t="n">
        <v>0</v>
      </c>
      <c r="F977" t="n">
        <v>0</v>
      </c>
      <c r="G977" t="n">
        <v>0</v>
      </c>
      <c r="H977">
        <f>AVERAGE(D21188:G21188)</f>
        <v/>
      </c>
    </row>
    <row r="978">
      <c r="A978" t="inlineStr">
        <is>
          <t>37140364</t>
        </is>
      </c>
      <c r="B978" t="inlineStr">
        <is>
          <t>PRODUCTO F62A77</t>
        </is>
      </c>
      <c r="C978" t="inlineStr">
        <is>
          <t>San Borja</t>
        </is>
      </c>
      <c r="D978" t="n">
        <v>1</v>
      </c>
      <c r="E978" t="n">
        <v>0</v>
      </c>
      <c r="F978" t="n">
        <v>0</v>
      </c>
      <c r="G978" t="n">
        <v>0</v>
      </c>
      <c r="H978">
        <f>AVERAGE(D21189:G21189)</f>
        <v/>
      </c>
    </row>
    <row r="979">
      <c r="A979" t="inlineStr">
        <is>
          <t>37140364</t>
        </is>
      </c>
      <c r="B979" t="inlineStr">
        <is>
          <t>PRODUCTO F62A77</t>
        </is>
      </c>
      <c r="C979" t="inlineStr">
        <is>
          <t>Piura</t>
        </is>
      </c>
      <c r="D979" t="n">
        <v>0</v>
      </c>
      <c r="E979" t="n">
        <v>0</v>
      </c>
      <c r="F979" t="n">
        <v>0</v>
      </c>
      <c r="G979" t="n">
        <v>0</v>
      </c>
      <c r="H979">
        <f>AVERAGE(D21197:G21197)</f>
        <v/>
      </c>
    </row>
    <row r="980">
      <c r="A980" t="inlineStr">
        <is>
          <t>37176688</t>
        </is>
      </c>
      <c r="B980" t="inlineStr">
        <is>
          <t>PRODUCTO 4CF46A</t>
        </is>
      </c>
      <c r="C980" t="inlineStr">
        <is>
          <t>Jockey Plaza</t>
        </is>
      </c>
      <c r="D980" t="n">
        <v>10</v>
      </c>
      <c r="E980" t="n">
        <v>5</v>
      </c>
      <c r="F980" t="n">
        <v>1</v>
      </c>
      <c r="G980" t="n">
        <v>0</v>
      </c>
      <c r="H980">
        <f>AVERAGE(D21298:G21298)</f>
        <v/>
      </c>
    </row>
    <row r="981">
      <c r="A981" t="inlineStr">
        <is>
          <t>37176688</t>
        </is>
      </c>
      <c r="B981" t="inlineStr">
        <is>
          <t>PRODUCTO 4CF46A</t>
        </is>
      </c>
      <c r="C981" t="inlineStr">
        <is>
          <t>San Miguel</t>
        </is>
      </c>
      <c r="D981" t="n">
        <v>8</v>
      </c>
      <c r="E981" t="n">
        <v>4</v>
      </c>
      <c r="F981" t="n">
        <v>1</v>
      </c>
      <c r="G981" t="n">
        <v>0</v>
      </c>
      <c r="H981">
        <f>AVERAGE(D21299:G21299)</f>
        <v/>
      </c>
    </row>
    <row r="982">
      <c r="A982" t="inlineStr">
        <is>
          <t>37176688</t>
        </is>
      </c>
      <c r="B982" t="inlineStr">
        <is>
          <t>PRODUCTO 4CF46A</t>
        </is>
      </c>
      <c r="C982" t="inlineStr">
        <is>
          <t>Miraflores</t>
        </is>
      </c>
      <c r="D982" t="n">
        <v>5</v>
      </c>
      <c r="E982" t="n">
        <v>3</v>
      </c>
      <c r="F982" t="n">
        <v>0</v>
      </c>
      <c r="G982" t="n">
        <v>0</v>
      </c>
      <c r="H982">
        <f>AVERAGE(D21300:G21300)</f>
        <v/>
      </c>
    </row>
    <row r="983">
      <c r="A983" t="inlineStr">
        <is>
          <t>37176688</t>
        </is>
      </c>
      <c r="B983" t="inlineStr">
        <is>
          <t>PRODUCTO 4CF46A</t>
        </is>
      </c>
      <c r="C983" t="inlineStr">
        <is>
          <t>Salaverry</t>
        </is>
      </c>
      <c r="D983" t="n">
        <v>8</v>
      </c>
      <c r="E983" t="n">
        <v>4</v>
      </c>
      <c r="F983" t="n">
        <v>1</v>
      </c>
      <c r="G983" t="n">
        <v>0</v>
      </c>
      <c r="H983">
        <f>AVERAGE(D21309:G21309)</f>
        <v/>
      </c>
    </row>
    <row r="984">
      <c r="A984" t="inlineStr">
        <is>
          <t>37176688</t>
        </is>
      </c>
      <c r="B984" t="inlineStr">
        <is>
          <t>PRODUCTO 4CF46A</t>
        </is>
      </c>
      <c r="C984" t="inlineStr">
        <is>
          <t>San Borja</t>
        </is>
      </c>
      <c r="D984" t="n">
        <v>7</v>
      </c>
      <c r="E984" t="n">
        <v>4</v>
      </c>
      <c r="F984" t="n">
        <v>1</v>
      </c>
      <c r="G984" t="n">
        <v>0</v>
      </c>
      <c r="H984">
        <f>AVERAGE(D21310:G21310)</f>
        <v/>
      </c>
    </row>
    <row r="985">
      <c r="A985" t="inlineStr">
        <is>
          <t>37176688</t>
        </is>
      </c>
      <c r="B985" t="inlineStr">
        <is>
          <t>PRODUCTO 4CF46A</t>
        </is>
      </c>
      <c r="C985" t="inlineStr">
        <is>
          <t>Piura</t>
        </is>
      </c>
      <c r="D985" t="n">
        <v>2</v>
      </c>
      <c r="E985" t="n">
        <v>1</v>
      </c>
      <c r="F985" t="n">
        <v>0</v>
      </c>
      <c r="G985" t="n">
        <v>0</v>
      </c>
      <c r="H985">
        <f>AVERAGE(D21318:G21318)</f>
        <v/>
      </c>
    </row>
    <row r="986">
      <c r="A986" t="inlineStr">
        <is>
          <t>37306753</t>
        </is>
      </c>
      <c r="B986" t="inlineStr">
        <is>
          <t>PRODUCTO 13466C</t>
        </is>
      </c>
      <c r="C986" t="inlineStr">
        <is>
          <t>Jockey Plaza</t>
        </is>
      </c>
      <c r="D986" t="n">
        <v>4</v>
      </c>
      <c r="E986" t="n">
        <v>2</v>
      </c>
      <c r="F986" t="n">
        <v>1</v>
      </c>
      <c r="G986" t="n">
        <v>1</v>
      </c>
      <c r="H986">
        <f>AVERAGE(D21584:G21584)</f>
        <v/>
      </c>
    </row>
    <row r="987">
      <c r="A987" t="inlineStr">
        <is>
          <t>37306753</t>
        </is>
      </c>
      <c r="B987" t="inlineStr">
        <is>
          <t>PRODUCTO 13466C</t>
        </is>
      </c>
      <c r="C987" t="inlineStr">
        <is>
          <t>San Miguel</t>
        </is>
      </c>
      <c r="D987" t="n">
        <v>2</v>
      </c>
      <c r="E987" t="n">
        <v>1</v>
      </c>
      <c r="F987" t="n">
        <v>1</v>
      </c>
      <c r="G987" t="n">
        <v>1</v>
      </c>
      <c r="H987">
        <f>AVERAGE(D21585:G21585)</f>
        <v/>
      </c>
    </row>
    <row r="988">
      <c r="A988" t="inlineStr">
        <is>
          <t>37306753</t>
        </is>
      </c>
      <c r="B988" t="inlineStr">
        <is>
          <t>PRODUCTO 13466C</t>
        </is>
      </c>
      <c r="C988" t="inlineStr">
        <is>
          <t>Miraflores</t>
        </is>
      </c>
      <c r="D988" t="n">
        <v>1</v>
      </c>
      <c r="E988" t="n">
        <v>0</v>
      </c>
      <c r="F988" t="n">
        <v>0</v>
      </c>
      <c r="G988" t="n">
        <v>0</v>
      </c>
      <c r="H988">
        <f>AVERAGE(D21586:G21586)</f>
        <v/>
      </c>
    </row>
    <row r="989">
      <c r="A989" t="inlineStr">
        <is>
          <t>37306753</t>
        </is>
      </c>
      <c r="B989" t="inlineStr">
        <is>
          <t>PRODUCTO 13466C</t>
        </is>
      </c>
      <c r="C989" t="inlineStr">
        <is>
          <t>Salaverry</t>
        </is>
      </c>
      <c r="D989" t="n">
        <v>2</v>
      </c>
      <c r="E989" t="n">
        <v>1</v>
      </c>
      <c r="F989" t="n">
        <v>1</v>
      </c>
      <c r="G989" t="n">
        <v>1</v>
      </c>
      <c r="H989">
        <f>AVERAGE(D21591:G21591)</f>
        <v/>
      </c>
    </row>
    <row r="990">
      <c r="A990" t="inlineStr">
        <is>
          <t>37306753</t>
        </is>
      </c>
      <c r="B990" t="inlineStr">
        <is>
          <t>PRODUCTO 13466C</t>
        </is>
      </c>
      <c r="C990" t="inlineStr">
        <is>
          <t>San Borja</t>
        </is>
      </c>
      <c r="D990" t="n">
        <v>1</v>
      </c>
      <c r="E990" t="n">
        <v>0</v>
      </c>
      <c r="F990" t="n">
        <v>0</v>
      </c>
      <c r="G990" t="n">
        <v>0</v>
      </c>
      <c r="H990">
        <f>AVERAGE(D21592:G21592)</f>
        <v/>
      </c>
    </row>
    <row r="991">
      <c r="A991" t="inlineStr">
        <is>
          <t>37307097</t>
        </is>
      </c>
      <c r="B991" t="inlineStr">
        <is>
          <t>PRODUCTO 740E53</t>
        </is>
      </c>
      <c r="C991" t="inlineStr">
        <is>
          <t>Jockey Plaza</t>
        </is>
      </c>
      <c r="D991" t="n">
        <v>1</v>
      </c>
      <c r="E991" t="n">
        <v>0</v>
      </c>
      <c r="F991" t="n">
        <v>0</v>
      </c>
      <c r="G991" t="n">
        <v>0</v>
      </c>
      <c r="H991">
        <f>AVERAGE(D21624:G21624)</f>
        <v/>
      </c>
    </row>
    <row r="992">
      <c r="A992" t="inlineStr">
        <is>
          <t>37307097</t>
        </is>
      </c>
      <c r="B992" t="inlineStr">
        <is>
          <t>PRODUCTO 740E53</t>
        </is>
      </c>
      <c r="C992" t="inlineStr">
        <is>
          <t>San Miguel</t>
        </is>
      </c>
      <c r="D992" t="n">
        <v>1</v>
      </c>
      <c r="E992" t="n">
        <v>0</v>
      </c>
      <c r="F992" t="n">
        <v>0</v>
      </c>
      <c r="G992" t="n">
        <v>0</v>
      </c>
      <c r="H992">
        <f>AVERAGE(D21625:G21625)</f>
        <v/>
      </c>
    </row>
    <row r="993">
      <c r="A993" t="inlineStr">
        <is>
          <t>37307097</t>
        </is>
      </c>
      <c r="B993" t="inlineStr">
        <is>
          <t>PRODUCTO 740E53</t>
        </is>
      </c>
      <c r="C993" t="inlineStr">
        <is>
          <t>Miraflores</t>
        </is>
      </c>
      <c r="D993" t="n">
        <v>0</v>
      </c>
      <c r="E993" t="n">
        <v>0</v>
      </c>
      <c r="F993" t="n">
        <v>0</v>
      </c>
      <c r="G993" t="n">
        <v>0</v>
      </c>
      <c r="H993">
        <f>AVERAGE(D21626:G21626)</f>
        <v/>
      </c>
    </row>
    <row r="994">
      <c r="A994" t="inlineStr">
        <is>
          <t>37307097</t>
        </is>
      </c>
      <c r="B994" t="inlineStr">
        <is>
          <t>PRODUCTO 740E53</t>
        </is>
      </c>
      <c r="C994" t="inlineStr">
        <is>
          <t>Salaverry</t>
        </is>
      </c>
      <c r="D994" t="n">
        <v>0</v>
      </c>
      <c r="E994" t="n">
        <v>0</v>
      </c>
      <c r="F994" t="n">
        <v>0</v>
      </c>
      <c r="G994" t="n">
        <v>0</v>
      </c>
      <c r="H994">
        <f>AVERAGE(D21633:G21633)</f>
        <v/>
      </c>
    </row>
    <row r="995">
      <c r="A995" t="inlineStr">
        <is>
          <t>37307097</t>
        </is>
      </c>
      <c r="B995" t="inlineStr">
        <is>
          <t>PRODUCTO 740E53</t>
        </is>
      </c>
      <c r="C995" t="inlineStr">
        <is>
          <t>San Borja</t>
        </is>
      </c>
      <c r="D995" t="n">
        <v>0</v>
      </c>
      <c r="E995" t="n">
        <v>0</v>
      </c>
      <c r="F995" t="n">
        <v>0</v>
      </c>
      <c r="G995" t="n">
        <v>0</v>
      </c>
      <c r="H995">
        <f>AVERAGE(D21634:G21634)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99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12" customWidth="1" min="4" max="4"/>
    <col width="10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STOCK ACTUAL POR TIENDA — Corte al 30/08/2026</t>
        </is>
      </c>
    </row>
    <row r="2">
      <c r="A2" s="4" t="inlineStr">
        <is>
          <t>SKU
Código Producto</t>
        </is>
      </c>
      <c r="B2" s="4" t="inlineStr">
        <is>
          <t>Nombre
Producto</t>
        </is>
      </c>
      <c r="C2" s="4" t="inlineStr">
        <is>
          <t>Tienda /
Canal</t>
        </is>
      </c>
      <c r="D2" s="4" t="inlineStr">
        <is>
          <t>Fecha
Corte</t>
        </is>
      </c>
      <c r="E2" s="4" t="inlineStr">
        <is>
          <t>Stock
Unidades</t>
        </is>
      </c>
      <c r="F2" s="4" t="inlineStr">
        <is>
          <t>Stock
Tránsito Uds</t>
        </is>
      </c>
      <c r="G2" s="5" t="inlineStr">
        <is>
          <t>Stock
Total Uds</t>
        </is>
      </c>
      <c r="H2" s="4" t="inlineStr">
        <is>
          <t>Notas</t>
        </is>
      </c>
    </row>
    <row r="3">
      <c r="A3" t="inlineStr">
        <is>
          <t>17990444</t>
        </is>
      </c>
      <c r="B3" t="inlineStr">
        <is>
          <t>PRODUCTO 86683A</t>
        </is>
      </c>
      <c r="C3" t="inlineStr">
        <is>
          <t>Jockey Plaza</t>
        </is>
      </c>
      <c r="D3" t="inlineStr">
        <is>
          <t>30/08/2026</t>
        </is>
      </c>
      <c r="E3" t="n">
        <v>15</v>
      </c>
      <c r="F3" t="n">
        <v>0</v>
      </c>
      <c r="G3">
        <f>E34+F34</f>
        <v/>
      </c>
    </row>
    <row r="4">
      <c r="A4" t="inlineStr">
        <is>
          <t>17990444</t>
        </is>
      </c>
      <c r="B4" t="inlineStr">
        <is>
          <t>PRODUCTO 86683A</t>
        </is>
      </c>
      <c r="C4" t="inlineStr">
        <is>
          <t>San Miguel</t>
        </is>
      </c>
      <c r="D4" t="inlineStr">
        <is>
          <t>30/08/2026</t>
        </is>
      </c>
      <c r="E4" t="n">
        <v>3</v>
      </c>
      <c r="F4" t="n">
        <v>0</v>
      </c>
      <c r="G4">
        <f>E35+F35</f>
        <v/>
      </c>
    </row>
    <row r="5">
      <c r="A5" t="inlineStr">
        <is>
          <t>17990444</t>
        </is>
      </c>
      <c r="B5" t="inlineStr">
        <is>
          <t>PRODUCTO 86683A</t>
        </is>
      </c>
      <c r="C5" t="inlineStr">
        <is>
          <t>Miraflores</t>
        </is>
      </c>
      <c r="D5" t="inlineStr">
        <is>
          <t>30/08/2026</t>
        </is>
      </c>
      <c r="E5" t="n">
        <v>16</v>
      </c>
      <c r="F5" t="n">
        <v>0</v>
      </c>
      <c r="G5">
        <f>E36+F36</f>
        <v/>
      </c>
    </row>
    <row r="6">
      <c r="A6" t="inlineStr">
        <is>
          <t>17990444</t>
        </is>
      </c>
      <c r="B6" t="inlineStr">
        <is>
          <t>PRODUCTO 86683A</t>
        </is>
      </c>
      <c r="C6" t="inlineStr">
        <is>
          <t>Salaverry</t>
        </is>
      </c>
      <c r="D6" t="inlineStr">
        <is>
          <t>30/08/2026</t>
        </is>
      </c>
      <c r="E6" t="n">
        <v>3</v>
      </c>
      <c r="F6" t="n">
        <v>0</v>
      </c>
      <c r="G6">
        <f>E45+F45</f>
        <v/>
      </c>
    </row>
    <row r="7">
      <c r="A7" t="inlineStr">
        <is>
          <t>17990444</t>
        </is>
      </c>
      <c r="B7" t="inlineStr">
        <is>
          <t>PRODUCTO 86683A</t>
        </is>
      </c>
      <c r="C7" t="inlineStr">
        <is>
          <t>San Borja</t>
        </is>
      </c>
      <c r="D7" t="inlineStr">
        <is>
          <t>30/08/2026</t>
        </is>
      </c>
      <c r="E7" t="n">
        <v>4</v>
      </c>
      <c r="F7" t="n">
        <v>0</v>
      </c>
      <c r="G7">
        <f>E46+F46</f>
        <v/>
      </c>
    </row>
    <row r="8">
      <c r="A8" t="inlineStr">
        <is>
          <t>17990444</t>
        </is>
      </c>
      <c r="B8" t="inlineStr">
        <is>
          <t>PRODUCTO 86683A</t>
        </is>
      </c>
      <c r="C8" t="inlineStr">
        <is>
          <t>Piura</t>
        </is>
      </c>
      <c r="D8" t="inlineStr">
        <is>
          <t>30/08/2026</t>
        </is>
      </c>
      <c r="E8" t="n">
        <v>3</v>
      </c>
      <c r="F8" t="n">
        <v>0</v>
      </c>
      <c r="G8">
        <f>E54+F54</f>
        <v/>
      </c>
    </row>
    <row r="9">
      <c r="A9" t="inlineStr">
        <is>
          <t>35130381</t>
        </is>
      </c>
      <c r="B9" t="inlineStr">
        <is>
          <t>PRODUCTO CA5191</t>
        </is>
      </c>
      <c r="C9" t="inlineStr">
        <is>
          <t>Miraflores</t>
        </is>
      </c>
      <c r="D9" t="inlineStr">
        <is>
          <t>30/08/2026</t>
        </is>
      </c>
      <c r="E9" t="n">
        <v>-1</v>
      </c>
      <c r="F9" t="n">
        <v>0</v>
      </c>
      <c r="G9">
        <f>E462+F462</f>
        <v/>
      </c>
    </row>
    <row r="10">
      <c r="A10" t="inlineStr">
        <is>
          <t>35822208</t>
        </is>
      </c>
      <c r="B10" t="inlineStr">
        <is>
          <t>PRODUCTO F531D6</t>
        </is>
      </c>
      <c r="C10" t="inlineStr">
        <is>
          <t>Jockey Plaza</t>
        </is>
      </c>
      <c r="D10" t="inlineStr">
        <is>
          <t>30/08/2026</t>
        </is>
      </c>
      <c r="E10" t="n">
        <v>1</v>
      </c>
      <c r="F10" t="n">
        <v>0</v>
      </c>
      <c r="G10">
        <f>E520+F520</f>
        <v/>
      </c>
    </row>
    <row r="11">
      <c r="A11" t="inlineStr">
        <is>
          <t>35822208</t>
        </is>
      </c>
      <c r="B11" t="inlineStr">
        <is>
          <t>PRODUCTO F531D6</t>
        </is>
      </c>
      <c r="C11" t="inlineStr">
        <is>
          <t>San Miguel</t>
        </is>
      </c>
      <c r="D11" t="inlineStr">
        <is>
          <t>30/08/2026</t>
        </is>
      </c>
      <c r="E11" t="n">
        <v>1</v>
      </c>
      <c r="F11" t="n">
        <v>0</v>
      </c>
      <c r="G11">
        <f>E521+F521</f>
        <v/>
      </c>
    </row>
    <row r="12">
      <c r="A12" t="inlineStr">
        <is>
          <t>35822208</t>
        </is>
      </c>
      <c r="B12" t="inlineStr">
        <is>
          <t>PRODUCTO F531D6</t>
        </is>
      </c>
      <c r="C12" t="inlineStr">
        <is>
          <t>Miraflores</t>
        </is>
      </c>
      <c r="D12" t="inlineStr">
        <is>
          <t>30/08/2026</t>
        </is>
      </c>
      <c r="E12" t="n">
        <v>7</v>
      </c>
      <c r="F12" t="n">
        <v>0</v>
      </c>
      <c r="G12">
        <f>E522+F522</f>
        <v/>
      </c>
    </row>
    <row r="13">
      <c r="A13" t="inlineStr">
        <is>
          <t>35822213</t>
        </is>
      </c>
      <c r="B13" t="inlineStr">
        <is>
          <t>PRODUCTO 6F25B5</t>
        </is>
      </c>
      <c r="C13" t="inlineStr">
        <is>
          <t>Jockey Plaza</t>
        </is>
      </c>
      <c r="D13" t="inlineStr">
        <is>
          <t>30/08/2026</t>
        </is>
      </c>
      <c r="E13" t="n">
        <v>1</v>
      </c>
      <c r="F13" t="n">
        <v>0</v>
      </c>
      <c r="G13">
        <f>E526+F526</f>
        <v/>
      </c>
    </row>
    <row r="14">
      <c r="A14" t="inlineStr">
        <is>
          <t>36162566</t>
        </is>
      </c>
      <c r="B14" t="inlineStr">
        <is>
          <t>PRODUCTO 526667</t>
        </is>
      </c>
      <c r="C14" t="inlineStr">
        <is>
          <t>Jockey Plaza</t>
        </is>
      </c>
      <c r="D14" t="inlineStr">
        <is>
          <t>30/08/2026</t>
        </is>
      </c>
      <c r="E14" t="n">
        <v>1</v>
      </c>
      <c r="F14" t="n">
        <v>0</v>
      </c>
      <c r="G14">
        <f>E715+F715</f>
        <v/>
      </c>
    </row>
    <row r="15">
      <c r="A15" t="inlineStr">
        <is>
          <t>36162566</t>
        </is>
      </c>
      <c r="B15" t="inlineStr">
        <is>
          <t>PRODUCTO 526667</t>
        </is>
      </c>
      <c r="C15" t="inlineStr">
        <is>
          <t>Miraflores</t>
        </is>
      </c>
      <c r="D15" t="inlineStr">
        <is>
          <t>30/08/2026</t>
        </is>
      </c>
      <c r="E15" t="n">
        <v>-1</v>
      </c>
      <c r="F15" t="n">
        <v>0</v>
      </c>
      <c r="G15">
        <f>E716+F716</f>
        <v/>
      </c>
    </row>
    <row r="16">
      <c r="A16" t="inlineStr">
        <is>
          <t>36162566</t>
        </is>
      </c>
      <c r="B16" t="inlineStr">
        <is>
          <t>PRODUCTO 526667</t>
        </is>
      </c>
      <c r="C16" t="inlineStr">
        <is>
          <t>Salaverry</t>
        </is>
      </c>
      <c r="D16" t="inlineStr">
        <is>
          <t>30/08/2026</t>
        </is>
      </c>
      <c r="E16" t="n">
        <v>1</v>
      </c>
      <c r="F16" t="n">
        <v>0</v>
      </c>
      <c r="G16">
        <f>E722+F722</f>
        <v/>
      </c>
    </row>
    <row r="17">
      <c r="A17" t="inlineStr">
        <is>
          <t>36162566</t>
        </is>
      </c>
      <c r="B17" t="inlineStr">
        <is>
          <t>PRODUCTO 526667</t>
        </is>
      </c>
      <c r="C17" t="inlineStr">
        <is>
          <t>San Borja</t>
        </is>
      </c>
      <c r="D17" t="inlineStr">
        <is>
          <t>30/08/2026</t>
        </is>
      </c>
      <c r="E17" t="n">
        <v>-1</v>
      </c>
      <c r="F17" t="n">
        <v>0</v>
      </c>
      <c r="G17">
        <f>E723+F723</f>
        <v/>
      </c>
    </row>
    <row r="18">
      <c r="A18" t="inlineStr">
        <is>
          <t>36190703</t>
        </is>
      </c>
      <c r="B18" t="inlineStr">
        <is>
          <t>PRODUCTO 36D3D6</t>
        </is>
      </c>
      <c r="C18" t="inlineStr">
        <is>
          <t>Jockey Plaza</t>
        </is>
      </c>
      <c r="D18" t="inlineStr">
        <is>
          <t>30/08/2026</t>
        </is>
      </c>
      <c r="E18" t="n">
        <v>1</v>
      </c>
      <c r="F18" t="n">
        <v>0</v>
      </c>
      <c r="G18">
        <f>E847+F847</f>
        <v/>
      </c>
    </row>
    <row r="19">
      <c r="A19" t="inlineStr">
        <is>
          <t>36190703</t>
        </is>
      </c>
      <c r="B19" t="inlineStr">
        <is>
          <t>PRODUCTO 36D3D6</t>
        </is>
      </c>
      <c r="C19" t="inlineStr">
        <is>
          <t>San Miguel</t>
        </is>
      </c>
      <c r="D19" t="inlineStr">
        <is>
          <t>30/08/2026</t>
        </is>
      </c>
      <c r="E19" t="n">
        <v>0</v>
      </c>
      <c r="F19" t="n">
        <v>-1</v>
      </c>
      <c r="G19">
        <f>E848+F848</f>
        <v/>
      </c>
    </row>
    <row r="20">
      <c r="A20" t="inlineStr">
        <is>
          <t>36190703</t>
        </is>
      </c>
      <c r="B20" t="inlineStr">
        <is>
          <t>PRODUCTO 36D3D6</t>
        </is>
      </c>
      <c r="C20" t="inlineStr">
        <is>
          <t>Miraflores</t>
        </is>
      </c>
      <c r="D20" t="inlineStr">
        <is>
          <t>30/08/2026</t>
        </is>
      </c>
      <c r="E20" t="n">
        <v>1</v>
      </c>
      <c r="F20" t="n">
        <v>0</v>
      </c>
      <c r="G20">
        <f>E849+F849</f>
        <v/>
      </c>
    </row>
    <row r="21">
      <c r="A21" t="inlineStr">
        <is>
          <t>36190703</t>
        </is>
      </c>
      <c r="B21" t="inlineStr">
        <is>
          <t>PRODUCTO 36D3D6</t>
        </is>
      </c>
      <c r="C21" t="inlineStr">
        <is>
          <t>Salaverry</t>
        </is>
      </c>
      <c r="D21" t="inlineStr">
        <is>
          <t>30/08/2026</t>
        </is>
      </c>
      <c r="E21" t="n">
        <v>2</v>
      </c>
      <c r="F21" t="n">
        <v>0</v>
      </c>
      <c r="G21">
        <f>E851+F851</f>
        <v/>
      </c>
    </row>
    <row r="22">
      <c r="A22" t="inlineStr">
        <is>
          <t>36195514</t>
        </is>
      </c>
      <c r="B22" t="inlineStr">
        <is>
          <t>PRODUCTO 331399</t>
        </is>
      </c>
      <c r="C22" t="inlineStr">
        <is>
          <t>Jockey Plaza</t>
        </is>
      </c>
      <c r="D22" t="inlineStr">
        <is>
          <t>30/08/2026</t>
        </is>
      </c>
      <c r="E22" t="n">
        <v>1</v>
      </c>
      <c r="F22" t="n">
        <v>0</v>
      </c>
      <c r="G22">
        <f>E910+F910</f>
        <v/>
      </c>
    </row>
    <row r="23">
      <c r="A23" t="inlineStr">
        <is>
          <t>36195514</t>
        </is>
      </c>
      <c r="B23" t="inlineStr">
        <is>
          <t>PRODUCTO 331399</t>
        </is>
      </c>
      <c r="C23" t="inlineStr">
        <is>
          <t>Salaverry</t>
        </is>
      </c>
      <c r="D23" t="inlineStr">
        <is>
          <t>30/08/2026</t>
        </is>
      </c>
      <c r="E23" t="n">
        <v>1</v>
      </c>
      <c r="F23" t="n">
        <v>0</v>
      </c>
      <c r="G23">
        <f>E914+F914</f>
        <v/>
      </c>
    </row>
    <row r="24">
      <c r="A24" t="inlineStr">
        <is>
          <t>36195514</t>
        </is>
      </c>
      <c r="B24" t="inlineStr">
        <is>
          <t>PRODUCTO 331399</t>
        </is>
      </c>
      <c r="C24" t="inlineStr">
        <is>
          <t>Piura</t>
        </is>
      </c>
      <c r="D24" t="inlineStr">
        <is>
          <t>30/08/2026</t>
        </is>
      </c>
      <c r="E24" t="n">
        <v>3</v>
      </c>
      <c r="F24" t="n">
        <v>0</v>
      </c>
      <c r="G24">
        <f>E919+F919</f>
        <v/>
      </c>
    </row>
    <row r="25">
      <c r="A25" t="inlineStr">
        <is>
          <t>36244264</t>
        </is>
      </c>
      <c r="B25" t="inlineStr">
        <is>
          <t>PRODUCTO EF35DB</t>
        </is>
      </c>
      <c r="C25" t="inlineStr">
        <is>
          <t>Salaverry</t>
        </is>
      </c>
      <c r="D25" t="inlineStr">
        <is>
          <t>30/08/2026</t>
        </is>
      </c>
      <c r="E25" t="n">
        <v>1</v>
      </c>
      <c r="F25" t="n">
        <v>0</v>
      </c>
      <c r="G25">
        <f>E1021+F1021</f>
        <v/>
      </c>
    </row>
    <row r="26">
      <c r="A26" t="inlineStr">
        <is>
          <t>36244264</t>
        </is>
      </c>
      <c r="B26" t="inlineStr">
        <is>
          <t>PRODUCTO EF35DB</t>
        </is>
      </c>
      <c r="C26" t="inlineStr">
        <is>
          <t>Piura</t>
        </is>
      </c>
      <c r="D26" t="inlineStr">
        <is>
          <t>30/08/2026</t>
        </is>
      </c>
      <c r="E26" t="n">
        <v>11</v>
      </c>
      <c r="F26" t="n">
        <v>0</v>
      </c>
      <c r="G26">
        <f>E1024+F1024</f>
        <v/>
      </c>
    </row>
    <row r="27">
      <c r="A27" t="inlineStr">
        <is>
          <t>36574973</t>
        </is>
      </c>
      <c r="B27" t="inlineStr">
        <is>
          <t>PRODUCTO D48C08</t>
        </is>
      </c>
      <c r="C27" t="inlineStr">
        <is>
          <t>Jockey Plaza</t>
        </is>
      </c>
      <c r="D27" t="inlineStr">
        <is>
          <t>30/08/2026</t>
        </is>
      </c>
      <c r="E27" t="n">
        <v>28</v>
      </c>
      <c r="F27" t="n">
        <v>0</v>
      </c>
      <c r="G27">
        <f>E1286+F1286</f>
        <v/>
      </c>
    </row>
    <row r="28">
      <c r="A28" t="inlineStr">
        <is>
          <t>36574973</t>
        </is>
      </c>
      <c r="B28" t="inlineStr">
        <is>
          <t>PRODUCTO D48C08</t>
        </is>
      </c>
      <c r="C28" t="inlineStr">
        <is>
          <t>San Miguel</t>
        </is>
      </c>
      <c r="D28" t="inlineStr">
        <is>
          <t>30/08/2026</t>
        </is>
      </c>
      <c r="E28" t="n">
        <v>4</v>
      </c>
      <c r="F28" t="n">
        <v>0</v>
      </c>
      <c r="G28">
        <f>E1287+F1287</f>
        <v/>
      </c>
    </row>
    <row r="29">
      <c r="A29" t="inlineStr">
        <is>
          <t>36574973</t>
        </is>
      </c>
      <c r="B29" t="inlineStr">
        <is>
          <t>PRODUCTO D48C08</t>
        </is>
      </c>
      <c r="C29" t="inlineStr">
        <is>
          <t>Miraflores</t>
        </is>
      </c>
      <c r="D29" t="inlineStr">
        <is>
          <t>30/08/2026</t>
        </is>
      </c>
      <c r="E29" t="n">
        <v>-1</v>
      </c>
      <c r="F29" t="n">
        <v>0</v>
      </c>
      <c r="G29">
        <f>E1288+F1288</f>
        <v/>
      </c>
    </row>
    <row r="30">
      <c r="A30" t="inlineStr">
        <is>
          <t>36574973</t>
        </is>
      </c>
      <c r="B30" t="inlineStr">
        <is>
          <t>PRODUCTO D48C08</t>
        </is>
      </c>
      <c r="C30" t="inlineStr">
        <is>
          <t>San Borja</t>
        </is>
      </c>
      <c r="D30" t="inlineStr">
        <is>
          <t>30/08/2026</t>
        </is>
      </c>
      <c r="E30" t="n">
        <v>3</v>
      </c>
      <c r="F30" t="n">
        <v>0</v>
      </c>
      <c r="G30">
        <f>E1297+F1297</f>
        <v/>
      </c>
    </row>
    <row r="31">
      <c r="A31" t="inlineStr">
        <is>
          <t>36574973</t>
        </is>
      </c>
      <c r="B31" t="inlineStr">
        <is>
          <t>PRODUCTO D48C08</t>
        </is>
      </c>
      <c r="C31" t="inlineStr">
        <is>
          <t>Piura</t>
        </is>
      </c>
      <c r="D31" t="inlineStr">
        <is>
          <t>30/08/2026</t>
        </is>
      </c>
      <c r="E31" t="n">
        <v>19</v>
      </c>
      <c r="F31" t="n">
        <v>0</v>
      </c>
      <c r="G31">
        <f>E1305+F1305</f>
        <v/>
      </c>
    </row>
    <row r="32">
      <c r="A32" t="inlineStr">
        <is>
          <t>36628846</t>
        </is>
      </c>
      <c r="B32" t="inlineStr">
        <is>
          <t>PRODUCTO 6516CA</t>
        </is>
      </c>
      <c r="C32" t="inlineStr">
        <is>
          <t>Jockey Plaza</t>
        </is>
      </c>
      <c r="D32" t="inlineStr">
        <is>
          <t>30/08/2026</t>
        </is>
      </c>
      <c r="E32" t="n">
        <v>5</v>
      </c>
      <c r="F32" t="n">
        <v>0</v>
      </c>
      <c r="G32">
        <f>E1422+F1422</f>
        <v/>
      </c>
    </row>
    <row r="33">
      <c r="A33" t="inlineStr">
        <is>
          <t>36628846</t>
        </is>
      </c>
      <c r="B33" t="inlineStr">
        <is>
          <t>PRODUCTO 6516CA</t>
        </is>
      </c>
      <c r="C33" t="inlineStr">
        <is>
          <t>San Miguel</t>
        </is>
      </c>
      <c r="D33" t="inlineStr">
        <is>
          <t>30/08/2026</t>
        </is>
      </c>
      <c r="E33" t="n">
        <v>5</v>
      </c>
      <c r="F33" t="n">
        <v>-2</v>
      </c>
      <c r="G33">
        <f>E1423+F1423</f>
        <v/>
      </c>
    </row>
    <row r="34">
      <c r="A34" t="inlineStr">
        <is>
          <t>36628846</t>
        </is>
      </c>
      <c r="B34" t="inlineStr">
        <is>
          <t>PRODUCTO 6516CA</t>
        </is>
      </c>
      <c r="C34" t="inlineStr">
        <is>
          <t>Miraflores</t>
        </is>
      </c>
      <c r="D34" t="inlineStr">
        <is>
          <t>30/08/2026</t>
        </is>
      </c>
      <c r="E34" t="n">
        <v>1</v>
      </c>
      <c r="F34" t="n">
        <v>0</v>
      </c>
      <c r="G34">
        <f>E1424+F1424</f>
        <v/>
      </c>
    </row>
    <row r="35">
      <c r="A35" t="inlineStr">
        <is>
          <t>36628846</t>
        </is>
      </c>
      <c r="B35" t="inlineStr">
        <is>
          <t>PRODUCTO 6516CA</t>
        </is>
      </c>
      <c r="C35" t="inlineStr">
        <is>
          <t>Salaverry</t>
        </is>
      </c>
      <c r="D35" t="inlineStr">
        <is>
          <t>30/08/2026</t>
        </is>
      </c>
      <c r="E35" t="n">
        <v>-1</v>
      </c>
      <c r="F35" t="n">
        <v>0</v>
      </c>
      <c r="G35">
        <f>E1433+F1433</f>
        <v/>
      </c>
    </row>
    <row r="36">
      <c r="A36" t="inlineStr">
        <is>
          <t>36628846</t>
        </is>
      </c>
      <c r="B36" t="inlineStr">
        <is>
          <t>PRODUCTO 6516CA</t>
        </is>
      </c>
      <c r="C36" t="inlineStr">
        <is>
          <t>San Borja</t>
        </is>
      </c>
      <c r="D36" t="inlineStr">
        <is>
          <t>30/08/2026</t>
        </is>
      </c>
      <c r="E36" t="n">
        <v>2</v>
      </c>
      <c r="F36" t="n">
        <v>0</v>
      </c>
      <c r="G36">
        <f>E1434+F1434</f>
        <v/>
      </c>
    </row>
    <row r="37">
      <c r="A37" t="inlineStr">
        <is>
          <t>36628846</t>
        </is>
      </c>
      <c r="B37" t="inlineStr">
        <is>
          <t>PRODUCTO 6516CA</t>
        </is>
      </c>
      <c r="C37" t="inlineStr">
        <is>
          <t>Piura</t>
        </is>
      </c>
      <c r="D37" t="inlineStr">
        <is>
          <t>30/08/2026</t>
        </is>
      </c>
      <c r="E37" t="n">
        <v>3</v>
      </c>
      <c r="F37" t="n">
        <v>0</v>
      </c>
      <c r="G37">
        <f>E1441+F1441</f>
        <v/>
      </c>
    </row>
    <row r="38">
      <c r="A38" t="inlineStr">
        <is>
          <t>36649794</t>
        </is>
      </c>
      <c r="B38" t="inlineStr">
        <is>
          <t>PRODUCTO E8D13F</t>
        </is>
      </c>
      <c r="C38" t="inlineStr">
        <is>
          <t>Jockey Plaza</t>
        </is>
      </c>
      <c r="D38" t="inlineStr">
        <is>
          <t>30/08/2026</t>
        </is>
      </c>
      <c r="E38" t="n">
        <v>17</v>
      </c>
      <c r="F38" t="n">
        <v>0</v>
      </c>
      <c r="G38">
        <f>E1608+F1608</f>
        <v/>
      </c>
    </row>
    <row r="39">
      <c r="A39" t="inlineStr">
        <is>
          <t>36649794</t>
        </is>
      </c>
      <c r="B39" t="inlineStr">
        <is>
          <t>PRODUCTO E8D13F</t>
        </is>
      </c>
      <c r="C39" t="inlineStr">
        <is>
          <t>San Miguel</t>
        </is>
      </c>
      <c r="D39" t="inlineStr">
        <is>
          <t>30/08/2026</t>
        </is>
      </c>
      <c r="E39" t="n">
        <v>28</v>
      </c>
      <c r="F39" t="n">
        <v>0</v>
      </c>
      <c r="G39">
        <f>E1609+F1609</f>
        <v/>
      </c>
    </row>
    <row r="40">
      <c r="A40" t="inlineStr">
        <is>
          <t>36649794</t>
        </is>
      </c>
      <c r="B40" t="inlineStr">
        <is>
          <t>PRODUCTO E8D13F</t>
        </is>
      </c>
      <c r="C40" t="inlineStr">
        <is>
          <t>Miraflores</t>
        </is>
      </c>
      <c r="D40" t="inlineStr">
        <is>
          <t>30/08/2026</t>
        </is>
      </c>
      <c r="E40" t="n">
        <v>16</v>
      </c>
      <c r="F40" t="n">
        <v>0</v>
      </c>
      <c r="G40">
        <f>E1610+F1610</f>
        <v/>
      </c>
    </row>
    <row r="41">
      <c r="A41" t="inlineStr">
        <is>
          <t>36649794</t>
        </is>
      </c>
      <c r="B41" t="inlineStr">
        <is>
          <t>PRODUCTO E8D13F</t>
        </is>
      </c>
      <c r="C41" t="inlineStr">
        <is>
          <t>Salaverry</t>
        </is>
      </c>
      <c r="D41" t="inlineStr">
        <is>
          <t>30/08/2026</t>
        </is>
      </c>
      <c r="E41" t="n">
        <v>19</v>
      </c>
      <c r="F41" t="n">
        <v>0</v>
      </c>
      <c r="G41">
        <f>E1619+F1619</f>
        <v/>
      </c>
    </row>
    <row r="42">
      <c r="A42" t="inlineStr">
        <is>
          <t>36649794</t>
        </is>
      </c>
      <c r="B42" t="inlineStr">
        <is>
          <t>PRODUCTO E8D13F</t>
        </is>
      </c>
      <c r="C42" t="inlineStr">
        <is>
          <t>San Borja</t>
        </is>
      </c>
      <c r="D42" t="inlineStr">
        <is>
          <t>30/08/2026</t>
        </is>
      </c>
      <c r="E42" t="n">
        <v>6</v>
      </c>
      <c r="F42" t="n">
        <v>0</v>
      </c>
      <c r="G42">
        <f>E1620+F1620</f>
        <v/>
      </c>
    </row>
    <row r="43">
      <c r="A43" t="inlineStr">
        <is>
          <t>36649794</t>
        </is>
      </c>
      <c r="B43" t="inlineStr">
        <is>
          <t>PRODUCTO E8D13F</t>
        </is>
      </c>
      <c r="C43" t="inlineStr">
        <is>
          <t>Piura</t>
        </is>
      </c>
      <c r="D43" t="inlineStr">
        <is>
          <t>30/08/2026</t>
        </is>
      </c>
      <c r="E43" t="n">
        <v>17</v>
      </c>
      <c r="F43" t="n">
        <v>0</v>
      </c>
      <c r="G43">
        <f>E1628+F1628</f>
        <v/>
      </c>
    </row>
    <row r="44">
      <c r="A44" t="inlineStr">
        <is>
          <t>36863338</t>
        </is>
      </c>
      <c r="B44" t="inlineStr">
        <is>
          <t>PRODUCTO 01E690</t>
        </is>
      </c>
      <c r="C44" t="inlineStr">
        <is>
          <t>Jockey Plaza</t>
        </is>
      </c>
      <c r="D44" t="inlineStr">
        <is>
          <t>30/08/2026</t>
        </is>
      </c>
      <c r="E44" t="n">
        <v>16</v>
      </c>
      <c r="F44" t="n">
        <v>1</v>
      </c>
      <c r="G44">
        <f>E1864+F1864</f>
        <v/>
      </c>
    </row>
    <row r="45">
      <c r="A45" t="inlineStr">
        <is>
          <t>36863338</t>
        </is>
      </c>
      <c r="B45" t="inlineStr">
        <is>
          <t>PRODUCTO 01E690</t>
        </is>
      </c>
      <c r="C45" t="inlineStr">
        <is>
          <t>San Miguel</t>
        </is>
      </c>
      <c r="D45" t="inlineStr">
        <is>
          <t>30/08/2026</t>
        </is>
      </c>
      <c r="E45" t="n">
        <v>13</v>
      </c>
      <c r="F45" t="n">
        <v>0</v>
      </c>
      <c r="G45">
        <f>E1865+F1865</f>
        <v/>
      </c>
    </row>
    <row r="46">
      <c r="A46" t="inlineStr">
        <is>
          <t>36863338</t>
        </is>
      </c>
      <c r="B46" t="inlineStr">
        <is>
          <t>PRODUCTO 01E690</t>
        </is>
      </c>
      <c r="C46" t="inlineStr">
        <is>
          <t>Miraflores</t>
        </is>
      </c>
      <c r="D46" t="inlineStr">
        <is>
          <t>30/08/2026</t>
        </is>
      </c>
      <c r="E46" t="n">
        <v>19</v>
      </c>
      <c r="F46" t="n">
        <v>0</v>
      </c>
      <c r="G46">
        <f>E1866+F1866</f>
        <v/>
      </c>
    </row>
    <row r="47">
      <c r="A47" t="inlineStr">
        <is>
          <t>36863338</t>
        </is>
      </c>
      <c r="B47" t="inlineStr">
        <is>
          <t>PRODUCTO 01E690</t>
        </is>
      </c>
      <c r="C47" t="inlineStr">
        <is>
          <t>Salaverry</t>
        </is>
      </c>
      <c r="D47" t="inlineStr">
        <is>
          <t>30/08/2026</t>
        </is>
      </c>
      <c r="E47" t="n">
        <v>9</v>
      </c>
      <c r="F47" t="n">
        <v>0</v>
      </c>
      <c r="G47">
        <f>E1875+F1875</f>
        <v/>
      </c>
    </row>
    <row r="48">
      <c r="A48" t="inlineStr">
        <is>
          <t>36863338</t>
        </is>
      </c>
      <c r="B48" t="inlineStr">
        <is>
          <t>PRODUCTO 01E690</t>
        </is>
      </c>
      <c r="C48" t="inlineStr">
        <is>
          <t>San Borja</t>
        </is>
      </c>
      <c r="D48" t="inlineStr">
        <is>
          <t>30/08/2026</t>
        </is>
      </c>
      <c r="E48" t="n">
        <v>19</v>
      </c>
      <c r="F48" t="n">
        <v>0</v>
      </c>
      <c r="G48">
        <f>E1876+F1876</f>
        <v/>
      </c>
    </row>
    <row r="49">
      <c r="A49" t="inlineStr">
        <is>
          <t>36863338</t>
        </is>
      </c>
      <c r="B49" t="inlineStr">
        <is>
          <t>PRODUCTO 01E690</t>
        </is>
      </c>
      <c r="C49" t="inlineStr">
        <is>
          <t>Piura</t>
        </is>
      </c>
      <c r="D49" t="inlineStr">
        <is>
          <t>30/08/2026</t>
        </is>
      </c>
      <c r="E49" t="n">
        <v>16</v>
      </c>
      <c r="F49" t="n">
        <v>0</v>
      </c>
      <c r="G49">
        <f>E1881+F1881</f>
        <v/>
      </c>
    </row>
    <row r="50">
      <c r="A50" t="inlineStr">
        <is>
          <t>36887980</t>
        </is>
      </c>
      <c r="B50" t="inlineStr">
        <is>
          <t>PRODUCTO 9472FC</t>
        </is>
      </c>
      <c r="C50" t="inlineStr">
        <is>
          <t>Jockey Plaza</t>
        </is>
      </c>
      <c r="D50" t="inlineStr">
        <is>
          <t>30/08/2026</t>
        </is>
      </c>
      <c r="E50" t="n">
        <v>33</v>
      </c>
      <c r="F50" t="n">
        <v>0</v>
      </c>
      <c r="G50">
        <f>E2101+F2101</f>
        <v/>
      </c>
    </row>
    <row r="51">
      <c r="A51" t="inlineStr">
        <is>
          <t>36887980</t>
        </is>
      </c>
      <c r="B51" t="inlineStr">
        <is>
          <t>PRODUCTO 9472FC</t>
        </is>
      </c>
      <c r="C51" t="inlineStr">
        <is>
          <t>San Miguel</t>
        </is>
      </c>
      <c r="D51" t="inlineStr">
        <is>
          <t>30/08/2026</t>
        </is>
      </c>
      <c r="E51" t="n">
        <v>35</v>
      </c>
      <c r="F51" t="n">
        <v>0</v>
      </c>
      <c r="G51">
        <f>E2102+F2102</f>
        <v/>
      </c>
    </row>
    <row r="52">
      <c r="A52" t="inlineStr">
        <is>
          <t>36887980</t>
        </is>
      </c>
      <c r="B52" t="inlineStr">
        <is>
          <t>PRODUCTO 9472FC</t>
        </is>
      </c>
      <c r="C52" t="inlineStr">
        <is>
          <t>Miraflores</t>
        </is>
      </c>
      <c r="D52" t="inlineStr">
        <is>
          <t>30/08/2026</t>
        </is>
      </c>
      <c r="E52" t="n">
        <v>29</v>
      </c>
      <c r="F52" t="n">
        <v>3</v>
      </c>
      <c r="G52">
        <f>E2103+F2103</f>
        <v/>
      </c>
    </row>
    <row r="53">
      <c r="A53" t="inlineStr">
        <is>
          <t>36887980</t>
        </is>
      </c>
      <c r="B53" t="inlineStr">
        <is>
          <t>PRODUCTO 9472FC</t>
        </is>
      </c>
      <c r="C53" t="inlineStr">
        <is>
          <t>Salaverry</t>
        </is>
      </c>
      <c r="D53" t="inlineStr">
        <is>
          <t>30/08/2026</t>
        </is>
      </c>
      <c r="E53" t="n">
        <v>24</v>
      </c>
      <c r="F53" t="n">
        <v>0</v>
      </c>
      <c r="G53">
        <f>E2112+F2112</f>
        <v/>
      </c>
    </row>
    <row r="54">
      <c r="A54" t="inlineStr">
        <is>
          <t>36887980</t>
        </is>
      </c>
      <c r="B54" t="inlineStr">
        <is>
          <t>PRODUCTO 9472FC</t>
        </is>
      </c>
      <c r="C54" t="inlineStr">
        <is>
          <t>San Borja</t>
        </is>
      </c>
      <c r="D54" t="inlineStr">
        <is>
          <t>30/08/2026</t>
        </is>
      </c>
      <c r="E54" t="n">
        <v>34</v>
      </c>
      <c r="F54" t="n">
        <v>0</v>
      </c>
      <c r="G54">
        <f>E2113+F2113</f>
        <v/>
      </c>
    </row>
    <row r="55">
      <c r="A55" t="inlineStr">
        <is>
          <t>36887980</t>
        </is>
      </c>
      <c r="B55" t="inlineStr">
        <is>
          <t>PRODUCTO 9472FC</t>
        </is>
      </c>
      <c r="C55" t="inlineStr">
        <is>
          <t>Piura</t>
        </is>
      </c>
      <c r="D55" t="inlineStr">
        <is>
          <t>30/08/2026</t>
        </is>
      </c>
      <c r="E55" t="n">
        <v>32</v>
      </c>
      <c r="F55" t="n">
        <v>0</v>
      </c>
      <c r="G55">
        <f>E2121+F2121</f>
        <v/>
      </c>
    </row>
    <row r="56">
      <c r="A56" t="inlineStr">
        <is>
          <t>36896074</t>
        </is>
      </c>
      <c r="B56" t="inlineStr">
        <is>
          <t>PRODUCTO 665E7B</t>
        </is>
      </c>
      <c r="C56" t="inlineStr">
        <is>
          <t>Jockey Plaza</t>
        </is>
      </c>
      <c r="D56" t="inlineStr">
        <is>
          <t>30/08/2026</t>
        </is>
      </c>
      <c r="E56" t="n">
        <v>17</v>
      </c>
      <c r="F56" t="n">
        <v>0</v>
      </c>
      <c r="G56">
        <f>E2304+F2304</f>
        <v/>
      </c>
    </row>
    <row r="57">
      <c r="A57" t="inlineStr">
        <is>
          <t>36896074</t>
        </is>
      </c>
      <c r="B57" t="inlineStr">
        <is>
          <t>PRODUCTO 665E7B</t>
        </is>
      </c>
      <c r="C57" t="inlineStr">
        <is>
          <t>San Miguel</t>
        </is>
      </c>
      <c r="D57" t="inlineStr">
        <is>
          <t>30/08/2026</t>
        </is>
      </c>
      <c r="E57" t="n">
        <v>15</v>
      </c>
      <c r="F57" t="n">
        <v>0</v>
      </c>
      <c r="G57">
        <f>E2305+F2305</f>
        <v/>
      </c>
    </row>
    <row r="58">
      <c r="A58" t="inlineStr">
        <is>
          <t>36896074</t>
        </is>
      </c>
      <c r="B58" t="inlineStr">
        <is>
          <t>PRODUCTO 665E7B</t>
        </is>
      </c>
      <c r="C58" t="inlineStr">
        <is>
          <t>Miraflores</t>
        </is>
      </c>
      <c r="D58" t="inlineStr">
        <is>
          <t>30/08/2026</t>
        </is>
      </c>
      <c r="E58" t="n">
        <v>14</v>
      </c>
      <c r="F58" t="n">
        <v>0</v>
      </c>
      <c r="G58">
        <f>E2306+F2306</f>
        <v/>
      </c>
    </row>
    <row r="59">
      <c r="A59" t="inlineStr">
        <is>
          <t>36896074</t>
        </is>
      </c>
      <c r="B59" t="inlineStr">
        <is>
          <t>PRODUCTO 665E7B</t>
        </is>
      </c>
      <c r="C59" t="inlineStr">
        <is>
          <t>Salaverry</t>
        </is>
      </c>
      <c r="D59" t="inlineStr">
        <is>
          <t>30/08/2026</t>
        </is>
      </c>
      <c r="E59" t="n">
        <v>16</v>
      </c>
      <c r="F59" t="n">
        <v>0</v>
      </c>
      <c r="G59">
        <f>E2315+F2315</f>
        <v/>
      </c>
    </row>
    <row r="60">
      <c r="A60" t="inlineStr">
        <is>
          <t>36896074</t>
        </is>
      </c>
      <c r="B60" t="inlineStr">
        <is>
          <t>PRODUCTO 665E7B</t>
        </is>
      </c>
      <c r="C60" t="inlineStr">
        <is>
          <t>San Borja</t>
        </is>
      </c>
      <c r="D60" t="inlineStr">
        <is>
          <t>30/08/2026</t>
        </is>
      </c>
      <c r="E60" t="n">
        <v>13</v>
      </c>
      <c r="F60" t="n">
        <v>0</v>
      </c>
      <c r="G60">
        <f>E2316+F2316</f>
        <v/>
      </c>
    </row>
    <row r="61">
      <c r="A61" t="inlineStr">
        <is>
          <t>36896074</t>
        </is>
      </c>
      <c r="B61" t="inlineStr">
        <is>
          <t>PRODUCTO 665E7B</t>
        </is>
      </c>
      <c r="C61" t="inlineStr">
        <is>
          <t>Piura</t>
        </is>
      </c>
      <c r="D61" t="inlineStr">
        <is>
          <t>30/08/2026</t>
        </is>
      </c>
      <c r="E61" t="n">
        <v>15</v>
      </c>
      <c r="F61" t="n">
        <v>0</v>
      </c>
      <c r="G61">
        <f>E2324+F2324</f>
        <v/>
      </c>
    </row>
    <row r="62">
      <c r="A62" t="inlineStr">
        <is>
          <t>36901384</t>
        </is>
      </c>
      <c r="B62" t="inlineStr">
        <is>
          <t>PRODUCTO EAAA16</t>
        </is>
      </c>
      <c r="C62" t="inlineStr">
        <is>
          <t>Jockey Plaza</t>
        </is>
      </c>
      <c r="D62" t="inlineStr">
        <is>
          <t>30/08/2026</t>
        </is>
      </c>
      <c r="E62" t="n">
        <v>107</v>
      </c>
      <c r="F62" t="n">
        <v>0</v>
      </c>
      <c r="G62">
        <f>E2435+F2435</f>
        <v/>
      </c>
    </row>
    <row r="63">
      <c r="A63" t="inlineStr">
        <is>
          <t>36901384</t>
        </is>
      </c>
      <c r="B63" t="inlineStr">
        <is>
          <t>PRODUCTO EAAA16</t>
        </is>
      </c>
      <c r="C63" t="inlineStr">
        <is>
          <t>San Miguel</t>
        </is>
      </c>
      <c r="D63" t="inlineStr">
        <is>
          <t>30/08/2026</t>
        </is>
      </c>
      <c r="E63" t="n">
        <v>125</v>
      </c>
      <c r="F63" t="n">
        <v>0</v>
      </c>
      <c r="G63">
        <f>E2436+F2436</f>
        <v/>
      </c>
    </row>
    <row r="64">
      <c r="A64" t="inlineStr">
        <is>
          <t>36901384</t>
        </is>
      </c>
      <c r="B64" t="inlineStr">
        <is>
          <t>PRODUCTO EAAA16</t>
        </is>
      </c>
      <c r="C64" t="inlineStr">
        <is>
          <t>Miraflores</t>
        </is>
      </c>
      <c r="D64" t="inlineStr">
        <is>
          <t>30/08/2026</t>
        </is>
      </c>
      <c r="E64" t="n">
        <v>103</v>
      </c>
      <c r="F64" t="n">
        <v>0</v>
      </c>
      <c r="G64">
        <f>E2437+F2437</f>
        <v/>
      </c>
    </row>
    <row r="65">
      <c r="A65" t="inlineStr">
        <is>
          <t>36901384</t>
        </is>
      </c>
      <c r="B65" t="inlineStr">
        <is>
          <t>PRODUCTO EAAA16</t>
        </is>
      </c>
      <c r="C65" t="inlineStr">
        <is>
          <t>Salaverry</t>
        </is>
      </c>
      <c r="D65" t="inlineStr">
        <is>
          <t>30/08/2026</t>
        </is>
      </c>
      <c r="E65" t="n">
        <v>72</v>
      </c>
      <c r="F65" t="n">
        <v>0</v>
      </c>
      <c r="G65">
        <f>E2446+F2446</f>
        <v/>
      </c>
    </row>
    <row r="66">
      <c r="A66" t="inlineStr">
        <is>
          <t>36901384</t>
        </is>
      </c>
      <c r="B66" t="inlineStr">
        <is>
          <t>PRODUCTO EAAA16</t>
        </is>
      </c>
      <c r="C66" t="inlineStr">
        <is>
          <t>San Borja</t>
        </is>
      </c>
      <c r="D66" t="inlineStr">
        <is>
          <t>30/08/2026</t>
        </is>
      </c>
      <c r="E66" t="n">
        <v>220</v>
      </c>
      <c r="F66" t="n">
        <v>0</v>
      </c>
      <c r="G66">
        <f>E2447+F2447</f>
        <v/>
      </c>
    </row>
    <row r="67">
      <c r="A67" t="inlineStr">
        <is>
          <t>36901384</t>
        </is>
      </c>
      <c r="B67" t="inlineStr">
        <is>
          <t>PRODUCTO EAAA16</t>
        </is>
      </c>
      <c r="C67" t="inlineStr">
        <is>
          <t>Piura</t>
        </is>
      </c>
      <c r="D67" t="inlineStr">
        <is>
          <t>30/08/2026</t>
        </is>
      </c>
      <c r="E67" t="n">
        <v>105</v>
      </c>
      <c r="F67" t="n">
        <v>0</v>
      </c>
      <c r="G67">
        <f>E2455+F2455</f>
        <v/>
      </c>
    </row>
    <row r="68">
      <c r="A68" t="inlineStr">
        <is>
          <t>37010818</t>
        </is>
      </c>
      <c r="B68" t="inlineStr">
        <is>
          <t>PRODUCTO CC970F</t>
        </is>
      </c>
      <c r="C68" t="inlineStr">
        <is>
          <t>Jockey Plaza</t>
        </is>
      </c>
      <c r="D68" t="inlineStr">
        <is>
          <t>30/08/2026</t>
        </is>
      </c>
      <c r="E68" t="n">
        <v>17</v>
      </c>
      <c r="F68" t="n">
        <v>0</v>
      </c>
      <c r="G68">
        <f>E2638+F2638</f>
        <v/>
      </c>
    </row>
    <row r="69">
      <c r="A69" t="inlineStr">
        <is>
          <t>37010818</t>
        </is>
      </c>
      <c r="B69" t="inlineStr">
        <is>
          <t>PRODUCTO CC970F</t>
        </is>
      </c>
      <c r="C69" t="inlineStr">
        <is>
          <t>San Miguel</t>
        </is>
      </c>
      <c r="D69" t="inlineStr">
        <is>
          <t>30/08/2026</t>
        </is>
      </c>
      <c r="E69" t="n">
        <v>1</v>
      </c>
      <c r="F69" t="n">
        <v>0</v>
      </c>
      <c r="G69">
        <f>E2639+F2639</f>
        <v/>
      </c>
    </row>
    <row r="70">
      <c r="A70" t="inlineStr">
        <is>
          <t>37010818</t>
        </is>
      </c>
      <c r="B70" t="inlineStr">
        <is>
          <t>PRODUCTO CC970F</t>
        </is>
      </c>
      <c r="C70" t="inlineStr">
        <is>
          <t>Miraflores</t>
        </is>
      </c>
      <c r="D70" t="inlineStr">
        <is>
          <t>30/08/2026</t>
        </is>
      </c>
      <c r="E70" t="n">
        <v>7</v>
      </c>
      <c r="F70" t="n">
        <v>0</v>
      </c>
      <c r="G70">
        <f>E2640+F2640</f>
        <v/>
      </c>
    </row>
    <row r="71">
      <c r="A71" t="inlineStr">
        <is>
          <t>37010818</t>
        </is>
      </c>
      <c r="B71" t="inlineStr">
        <is>
          <t>PRODUCTO CC970F</t>
        </is>
      </c>
      <c r="C71" t="inlineStr">
        <is>
          <t>Salaverry</t>
        </is>
      </c>
      <c r="D71" t="inlineStr">
        <is>
          <t>30/08/2026</t>
        </is>
      </c>
      <c r="E71" t="n">
        <v>5</v>
      </c>
      <c r="F71" t="n">
        <v>0</v>
      </c>
      <c r="G71">
        <f>E2646+F2646</f>
        <v/>
      </c>
    </row>
    <row r="72">
      <c r="A72" t="inlineStr">
        <is>
          <t>37010818</t>
        </is>
      </c>
      <c r="B72" t="inlineStr">
        <is>
          <t>PRODUCTO CC970F</t>
        </is>
      </c>
      <c r="C72" t="inlineStr">
        <is>
          <t>San Borja</t>
        </is>
      </c>
      <c r="D72" t="inlineStr">
        <is>
          <t>30/08/2026</t>
        </is>
      </c>
      <c r="E72" t="n">
        <v>6</v>
      </c>
      <c r="F72" t="n">
        <v>0</v>
      </c>
      <c r="G72">
        <f>E2647+F2647</f>
        <v/>
      </c>
    </row>
    <row r="73">
      <c r="A73" t="inlineStr">
        <is>
          <t>37010818</t>
        </is>
      </c>
      <c r="B73" t="inlineStr">
        <is>
          <t>PRODUCTO CC970F</t>
        </is>
      </c>
      <c r="C73" t="inlineStr">
        <is>
          <t>Piura</t>
        </is>
      </c>
      <c r="D73" t="inlineStr">
        <is>
          <t>30/08/2026</t>
        </is>
      </c>
      <c r="E73" t="n">
        <v>5</v>
      </c>
      <c r="F73" t="n">
        <v>0</v>
      </c>
      <c r="G73">
        <f>E2648+F2648</f>
        <v/>
      </c>
    </row>
    <row r="74">
      <c r="A74" t="inlineStr">
        <is>
          <t>37315512</t>
        </is>
      </c>
      <c r="B74" t="inlineStr">
        <is>
          <t>PRODUCTO 030F69</t>
        </is>
      </c>
      <c r="C74" t="inlineStr">
        <is>
          <t>Jockey Plaza</t>
        </is>
      </c>
      <c r="D74" t="inlineStr">
        <is>
          <t>30/08/2026</t>
        </is>
      </c>
      <c r="E74" t="n">
        <v>36</v>
      </c>
      <c r="F74" t="n">
        <v>0</v>
      </c>
      <c r="G74">
        <f>E2652+F2652</f>
        <v/>
      </c>
    </row>
    <row r="75">
      <c r="A75" t="inlineStr">
        <is>
          <t>37315512</t>
        </is>
      </c>
      <c r="B75" t="inlineStr">
        <is>
          <t>PRODUCTO 030F69</t>
        </is>
      </c>
      <c r="C75" t="inlineStr">
        <is>
          <t>San Miguel</t>
        </is>
      </c>
      <c r="D75" t="inlineStr">
        <is>
          <t>30/08/2026</t>
        </is>
      </c>
      <c r="E75" t="n">
        <v>33</v>
      </c>
      <c r="F75" t="n">
        <v>0</v>
      </c>
      <c r="G75">
        <f>E2653+F2653</f>
        <v/>
      </c>
    </row>
    <row r="76">
      <c r="A76" t="inlineStr">
        <is>
          <t>37315512</t>
        </is>
      </c>
      <c r="B76" t="inlineStr">
        <is>
          <t>PRODUCTO 030F69</t>
        </is>
      </c>
      <c r="C76" t="inlineStr">
        <is>
          <t>Miraflores</t>
        </is>
      </c>
      <c r="D76" t="inlineStr">
        <is>
          <t>30/08/2026</t>
        </is>
      </c>
      <c r="E76" t="n">
        <v>8</v>
      </c>
      <c r="F76" t="n">
        <v>0</v>
      </c>
      <c r="G76">
        <f>E2654+F2654</f>
        <v/>
      </c>
    </row>
    <row r="77">
      <c r="A77" t="inlineStr">
        <is>
          <t>37315512</t>
        </is>
      </c>
      <c r="B77" t="inlineStr">
        <is>
          <t>PRODUCTO 030F69</t>
        </is>
      </c>
      <c r="C77" t="inlineStr">
        <is>
          <t>Salaverry</t>
        </is>
      </c>
      <c r="D77" t="inlineStr">
        <is>
          <t>30/08/2026</t>
        </is>
      </c>
      <c r="E77" t="n">
        <v>13</v>
      </c>
      <c r="F77" t="n">
        <v>0</v>
      </c>
      <c r="G77">
        <f>E2661+F2661</f>
        <v/>
      </c>
    </row>
    <row r="78">
      <c r="A78" t="inlineStr">
        <is>
          <t>37315512</t>
        </is>
      </c>
      <c r="B78" t="inlineStr">
        <is>
          <t>PRODUCTO 030F69</t>
        </is>
      </c>
      <c r="C78" t="inlineStr">
        <is>
          <t>San Borja</t>
        </is>
      </c>
      <c r="D78" t="inlineStr">
        <is>
          <t>30/08/2026</t>
        </is>
      </c>
      <c r="E78" t="n">
        <v>8</v>
      </c>
      <c r="F78" t="n">
        <v>0</v>
      </c>
      <c r="G78">
        <f>E2662+F2662</f>
        <v/>
      </c>
    </row>
    <row r="79">
      <c r="A79" t="inlineStr">
        <is>
          <t>26667022</t>
        </is>
      </c>
      <c r="B79" t="inlineStr">
        <is>
          <t>PRODUCTO 22F28B</t>
        </is>
      </c>
      <c r="C79" t="inlineStr">
        <is>
          <t>Jockey Plaza</t>
        </is>
      </c>
      <c r="D79" t="inlineStr">
        <is>
          <t>30/08/2026</t>
        </is>
      </c>
      <c r="E79" t="n">
        <v>16</v>
      </c>
      <c r="F79" t="n">
        <v>0</v>
      </c>
      <c r="G79">
        <f>E2801+F2801</f>
        <v/>
      </c>
    </row>
    <row r="80">
      <c r="A80" t="inlineStr">
        <is>
          <t>26667022</t>
        </is>
      </c>
      <c r="B80" t="inlineStr">
        <is>
          <t>PRODUCTO 22F28B</t>
        </is>
      </c>
      <c r="C80" t="inlineStr">
        <is>
          <t>San Miguel</t>
        </is>
      </c>
      <c r="D80" t="inlineStr">
        <is>
          <t>30/08/2026</t>
        </is>
      </c>
      <c r="E80" t="n">
        <v>23</v>
      </c>
      <c r="F80" t="n">
        <v>0</v>
      </c>
      <c r="G80">
        <f>E2802+F2802</f>
        <v/>
      </c>
    </row>
    <row r="81">
      <c r="A81" t="inlineStr">
        <is>
          <t>26667022</t>
        </is>
      </c>
      <c r="B81" t="inlineStr">
        <is>
          <t>PRODUCTO 22F28B</t>
        </is>
      </c>
      <c r="C81" t="inlineStr">
        <is>
          <t>Miraflores</t>
        </is>
      </c>
      <c r="D81" t="inlineStr">
        <is>
          <t>30/08/2026</t>
        </is>
      </c>
      <c r="E81" t="n">
        <v>-3</v>
      </c>
      <c r="F81" t="n">
        <v>0</v>
      </c>
      <c r="G81">
        <f>E2803+F2803</f>
        <v/>
      </c>
    </row>
    <row r="82">
      <c r="A82" t="inlineStr">
        <is>
          <t>26667022</t>
        </is>
      </c>
      <c r="B82" t="inlineStr">
        <is>
          <t>PRODUCTO 22F28B</t>
        </is>
      </c>
      <c r="C82" t="inlineStr">
        <is>
          <t>Salaverry</t>
        </is>
      </c>
      <c r="D82" t="inlineStr">
        <is>
          <t>30/08/2026</t>
        </is>
      </c>
      <c r="E82" t="n">
        <v>10</v>
      </c>
      <c r="F82" t="n">
        <v>0</v>
      </c>
      <c r="G82">
        <f>E2812+F2812</f>
        <v/>
      </c>
    </row>
    <row r="83">
      <c r="A83" t="inlineStr">
        <is>
          <t>26667022</t>
        </is>
      </c>
      <c r="B83" t="inlineStr">
        <is>
          <t>PRODUCTO 22F28B</t>
        </is>
      </c>
      <c r="C83" t="inlineStr">
        <is>
          <t>San Borja</t>
        </is>
      </c>
      <c r="D83" t="inlineStr">
        <is>
          <t>30/08/2026</t>
        </is>
      </c>
      <c r="E83" t="n">
        <v>1</v>
      </c>
      <c r="F83" t="n">
        <v>0</v>
      </c>
      <c r="G83">
        <f>E2813+F2813</f>
        <v/>
      </c>
    </row>
    <row r="84">
      <c r="A84" t="inlineStr">
        <is>
          <t>26667022</t>
        </is>
      </c>
      <c r="B84" t="inlineStr">
        <is>
          <t>PRODUCTO 22F28B</t>
        </is>
      </c>
      <c r="C84" t="inlineStr">
        <is>
          <t>Piura</t>
        </is>
      </c>
      <c r="D84" t="inlineStr">
        <is>
          <t>30/08/2026</t>
        </is>
      </c>
      <c r="E84" t="n">
        <v>1</v>
      </c>
      <c r="F84" t="n">
        <v>0</v>
      </c>
      <c r="G84">
        <f>E2819+F2819</f>
        <v/>
      </c>
    </row>
    <row r="85">
      <c r="A85" t="inlineStr">
        <is>
          <t>30596506</t>
        </is>
      </c>
      <c r="B85" t="inlineStr">
        <is>
          <t>PRODUCTO 348026</t>
        </is>
      </c>
      <c r="C85" t="inlineStr">
        <is>
          <t>Miraflores</t>
        </is>
      </c>
      <c r="D85" t="inlineStr">
        <is>
          <t>30/08/2026</t>
        </is>
      </c>
      <c r="E85" t="n">
        <v>1</v>
      </c>
      <c r="F85" t="n">
        <v>0</v>
      </c>
      <c r="G85">
        <f>E2836+F2836</f>
        <v/>
      </c>
    </row>
    <row r="86">
      <c r="A86" t="inlineStr">
        <is>
          <t>30596506</t>
        </is>
      </c>
      <c r="B86" t="inlineStr">
        <is>
          <t>PRODUCTO 348026</t>
        </is>
      </c>
      <c r="C86" t="inlineStr">
        <is>
          <t>Salaverry</t>
        </is>
      </c>
      <c r="D86" t="inlineStr">
        <is>
          <t>30/08/2026</t>
        </is>
      </c>
      <c r="E86" t="n">
        <v>2</v>
      </c>
      <c r="F86" t="n">
        <v>0</v>
      </c>
      <c r="G86">
        <f>E2839+F2839</f>
        <v/>
      </c>
    </row>
    <row r="87">
      <c r="A87" t="inlineStr">
        <is>
          <t>30827521</t>
        </is>
      </c>
      <c r="B87" t="inlineStr">
        <is>
          <t>PRODUCTO D0A420</t>
        </is>
      </c>
      <c r="C87" t="inlineStr">
        <is>
          <t>Jockey Plaza</t>
        </is>
      </c>
      <c r="D87" t="inlineStr">
        <is>
          <t>30/08/2026</t>
        </is>
      </c>
      <c r="E87" t="n">
        <v>25</v>
      </c>
      <c r="F87" t="n">
        <v>0</v>
      </c>
      <c r="G87">
        <f>E2856+F2856</f>
        <v/>
      </c>
    </row>
    <row r="88">
      <c r="A88" t="inlineStr">
        <is>
          <t>30827521</t>
        </is>
      </c>
      <c r="B88" t="inlineStr">
        <is>
          <t>PRODUCTO D0A420</t>
        </is>
      </c>
      <c r="C88" t="inlineStr">
        <is>
          <t>San Miguel</t>
        </is>
      </c>
      <c r="D88" t="inlineStr">
        <is>
          <t>30/08/2026</t>
        </is>
      </c>
      <c r="E88" t="n">
        <v>27</v>
      </c>
      <c r="F88" t="n">
        <v>0</v>
      </c>
      <c r="G88">
        <f>E2857+F2857</f>
        <v/>
      </c>
    </row>
    <row r="89">
      <c r="A89" t="inlineStr">
        <is>
          <t>30827521</t>
        </is>
      </c>
      <c r="B89" t="inlineStr">
        <is>
          <t>PRODUCTO D0A420</t>
        </is>
      </c>
      <c r="C89" t="inlineStr">
        <is>
          <t>Miraflores</t>
        </is>
      </c>
      <c r="D89" t="inlineStr">
        <is>
          <t>30/08/2026</t>
        </is>
      </c>
      <c r="E89" t="n">
        <v>30</v>
      </c>
      <c r="F89" t="n">
        <v>0</v>
      </c>
      <c r="G89">
        <f>E2858+F2858</f>
        <v/>
      </c>
    </row>
    <row r="90">
      <c r="A90" t="inlineStr">
        <is>
          <t>30827521</t>
        </is>
      </c>
      <c r="B90" t="inlineStr">
        <is>
          <t>PRODUCTO D0A420</t>
        </is>
      </c>
      <c r="C90" t="inlineStr">
        <is>
          <t>Salaverry</t>
        </is>
      </c>
      <c r="D90" t="inlineStr">
        <is>
          <t>30/08/2026</t>
        </is>
      </c>
      <c r="E90" t="n">
        <v>24</v>
      </c>
      <c r="F90" t="n">
        <v>0</v>
      </c>
      <c r="G90">
        <f>E2865+F2865</f>
        <v/>
      </c>
    </row>
    <row r="91">
      <c r="A91" t="inlineStr">
        <is>
          <t>30827521</t>
        </is>
      </c>
      <c r="B91" t="inlineStr">
        <is>
          <t>PRODUCTO D0A420</t>
        </is>
      </c>
      <c r="C91" t="inlineStr">
        <is>
          <t>San Borja</t>
        </is>
      </c>
      <c r="D91" t="inlineStr">
        <is>
          <t>30/08/2026</t>
        </is>
      </c>
      <c r="E91" t="n">
        <v>41</v>
      </c>
      <c r="F91" t="n">
        <v>0</v>
      </c>
      <c r="G91">
        <f>E2866+F2866</f>
        <v/>
      </c>
    </row>
    <row r="92">
      <c r="A92" t="inlineStr">
        <is>
          <t>30919521</t>
        </is>
      </c>
      <c r="B92" t="inlineStr">
        <is>
          <t>PRODUCTO C309D7</t>
        </is>
      </c>
      <c r="C92" t="inlineStr">
        <is>
          <t>Salaverry</t>
        </is>
      </c>
      <c r="D92" t="inlineStr">
        <is>
          <t>30/08/2026</t>
        </is>
      </c>
      <c r="E92" t="n">
        <v>0</v>
      </c>
      <c r="F92" t="n">
        <v>0</v>
      </c>
      <c r="G92">
        <f>E2877+F2877</f>
        <v/>
      </c>
    </row>
    <row r="93">
      <c r="A93" t="inlineStr">
        <is>
          <t>31871513</t>
        </is>
      </c>
      <c r="B93" t="inlineStr">
        <is>
          <t>PRODUCTO EC369F</t>
        </is>
      </c>
      <c r="C93" t="inlineStr">
        <is>
          <t>San Miguel</t>
        </is>
      </c>
      <c r="D93" t="inlineStr">
        <is>
          <t>30/08/2026</t>
        </is>
      </c>
      <c r="E93" t="n">
        <v>1</v>
      </c>
      <c r="F93" t="n">
        <v>0</v>
      </c>
      <c r="G93">
        <f>E2980+F2980</f>
        <v/>
      </c>
    </row>
    <row r="94">
      <c r="A94" t="inlineStr">
        <is>
          <t>31871513</t>
        </is>
      </c>
      <c r="B94" t="inlineStr">
        <is>
          <t>PRODUCTO EC369F</t>
        </is>
      </c>
      <c r="C94" t="inlineStr">
        <is>
          <t>Miraflores</t>
        </is>
      </c>
      <c r="D94" t="inlineStr">
        <is>
          <t>30/08/2026</t>
        </is>
      </c>
      <c r="E94" t="n">
        <v>1</v>
      </c>
      <c r="F94" t="n">
        <v>0</v>
      </c>
      <c r="G94">
        <f>E2981+F2981</f>
        <v/>
      </c>
    </row>
    <row r="95">
      <c r="A95" t="inlineStr">
        <is>
          <t>34788213</t>
        </is>
      </c>
      <c r="B95" t="inlineStr">
        <is>
          <t>PRODUCTO D19A71</t>
        </is>
      </c>
      <c r="C95" t="inlineStr">
        <is>
          <t>Jockey Plaza</t>
        </is>
      </c>
      <c r="D95" t="inlineStr">
        <is>
          <t>30/08/2026</t>
        </is>
      </c>
      <c r="E95" t="n">
        <v>251</v>
      </c>
      <c r="F95" t="n">
        <v>0</v>
      </c>
      <c r="G95">
        <f>E3117+F3117</f>
        <v/>
      </c>
    </row>
    <row r="96">
      <c r="A96" t="inlineStr">
        <is>
          <t>34788213</t>
        </is>
      </c>
      <c r="B96" t="inlineStr">
        <is>
          <t>PRODUCTO D19A71</t>
        </is>
      </c>
      <c r="C96" t="inlineStr">
        <is>
          <t>San Miguel</t>
        </is>
      </c>
      <c r="D96" t="inlineStr">
        <is>
          <t>30/08/2026</t>
        </is>
      </c>
      <c r="E96" t="n">
        <v>240</v>
      </c>
      <c r="F96" t="n">
        <v>0</v>
      </c>
      <c r="G96">
        <f>E3118+F3118</f>
        <v/>
      </c>
    </row>
    <row r="97">
      <c r="A97" t="inlineStr">
        <is>
          <t>34788213</t>
        </is>
      </c>
      <c r="B97" t="inlineStr">
        <is>
          <t>PRODUCTO D19A71</t>
        </is>
      </c>
      <c r="C97" t="inlineStr">
        <is>
          <t>Miraflores</t>
        </is>
      </c>
      <c r="D97" t="inlineStr">
        <is>
          <t>30/08/2026</t>
        </is>
      </c>
      <c r="E97" t="n">
        <v>131</v>
      </c>
      <c r="F97" t="n">
        <v>0</v>
      </c>
      <c r="G97">
        <f>E3119+F3119</f>
        <v/>
      </c>
    </row>
    <row r="98">
      <c r="A98" t="inlineStr">
        <is>
          <t>34788213</t>
        </is>
      </c>
      <c r="B98" t="inlineStr">
        <is>
          <t>PRODUCTO D19A71</t>
        </is>
      </c>
      <c r="C98" t="inlineStr">
        <is>
          <t>Salaverry</t>
        </is>
      </c>
      <c r="D98" t="inlineStr">
        <is>
          <t>30/08/2026</t>
        </is>
      </c>
      <c r="E98" t="n">
        <v>163</v>
      </c>
      <c r="F98" t="n">
        <v>0</v>
      </c>
      <c r="G98">
        <f>E3128+F3128</f>
        <v/>
      </c>
    </row>
    <row r="99">
      <c r="A99" t="inlineStr">
        <is>
          <t>34788213</t>
        </is>
      </c>
      <c r="B99" t="inlineStr">
        <is>
          <t>PRODUCTO D19A71</t>
        </is>
      </c>
      <c r="C99" t="inlineStr">
        <is>
          <t>San Borja</t>
        </is>
      </c>
      <c r="D99" t="inlineStr">
        <is>
          <t>30/08/2026</t>
        </is>
      </c>
      <c r="E99" t="n">
        <v>128</v>
      </c>
      <c r="F99" t="n">
        <v>0</v>
      </c>
      <c r="G99">
        <f>E3129+F3129</f>
        <v/>
      </c>
    </row>
    <row r="100">
      <c r="A100" t="inlineStr">
        <is>
          <t>34788213</t>
        </is>
      </c>
      <c r="B100" t="inlineStr">
        <is>
          <t>PRODUCTO D19A71</t>
        </is>
      </c>
      <c r="C100" t="inlineStr">
        <is>
          <t>Piura</t>
        </is>
      </c>
      <c r="D100" t="inlineStr">
        <is>
          <t>30/08/2026</t>
        </is>
      </c>
      <c r="E100" t="n">
        <v>128</v>
      </c>
      <c r="F100" t="n">
        <v>0</v>
      </c>
      <c r="G100">
        <f>E3135+F3135</f>
        <v/>
      </c>
    </row>
    <row r="101">
      <c r="A101" t="inlineStr">
        <is>
          <t>36198237</t>
        </is>
      </c>
      <c r="B101" t="inlineStr">
        <is>
          <t>PRODUCTO 7F39F2</t>
        </is>
      </c>
      <c r="C101" t="inlineStr">
        <is>
          <t>Jockey Plaza</t>
        </is>
      </c>
      <c r="D101" t="inlineStr">
        <is>
          <t>30/08/2026</t>
        </is>
      </c>
      <c r="E101" t="n">
        <v>2</v>
      </c>
      <c r="F101" t="n">
        <v>0</v>
      </c>
      <c r="G101">
        <f>E3435+F3435</f>
        <v/>
      </c>
    </row>
    <row r="102">
      <c r="A102" t="inlineStr">
        <is>
          <t>36198237</t>
        </is>
      </c>
      <c r="B102" t="inlineStr">
        <is>
          <t>PRODUCTO 7F39F2</t>
        </is>
      </c>
      <c r="C102" t="inlineStr">
        <is>
          <t>San Miguel</t>
        </is>
      </c>
      <c r="D102" t="inlineStr">
        <is>
          <t>30/08/2026</t>
        </is>
      </c>
      <c r="E102" t="n">
        <v>1</v>
      </c>
      <c r="F102" t="n">
        <v>0</v>
      </c>
      <c r="G102">
        <f>E3436+F3436</f>
        <v/>
      </c>
    </row>
    <row r="103">
      <c r="A103" t="inlineStr">
        <is>
          <t>36198237</t>
        </is>
      </c>
      <c r="B103" t="inlineStr">
        <is>
          <t>PRODUCTO 7F39F2</t>
        </is>
      </c>
      <c r="C103" t="inlineStr">
        <is>
          <t>Miraflores</t>
        </is>
      </c>
      <c r="D103" t="inlineStr">
        <is>
          <t>30/08/2026</t>
        </is>
      </c>
      <c r="E103" t="n">
        <v>1</v>
      </c>
      <c r="F103" t="n">
        <v>0</v>
      </c>
      <c r="G103">
        <f>E3437+F3437</f>
        <v/>
      </c>
    </row>
    <row r="104">
      <c r="A104" t="inlineStr">
        <is>
          <t>36198237</t>
        </is>
      </c>
      <c r="B104" t="inlineStr">
        <is>
          <t>PRODUCTO 7F39F2</t>
        </is>
      </c>
      <c r="C104" t="inlineStr">
        <is>
          <t>Piura</t>
        </is>
      </c>
      <c r="D104" t="inlineStr">
        <is>
          <t>30/08/2026</t>
        </is>
      </c>
      <c r="E104" t="n">
        <v>12</v>
      </c>
      <c r="F104" t="n">
        <v>0</v>
      </c>
      <c r="G104">
        <f>E3442+F3442</f>
        <v/>
      </c>
    </row>
    <row r="105">
      <c r="A105" t="inlineStr">
        <is>
          <t>36200819</t>
        </is>
      </c>
      <c r="B105" t="inlineStr">
        <is>
          <t>PRODUCTO 459D32</t>
        </is>
      </c>
      <c r="C105" t="inlineStr">
        <is>
          <t>Jockey Plaza</t>
        </is>
      </c>
      <c r="D105" t="inlineStr">
        <is>
          <t>30/08/2026</t>
        </is>
      </c>
      <c r="E105" t="n">
        <v>0</v>
      </c>
      <c r="F105" t="n">
        <v>0</v>
      </c>
      <c r="G105">
        <f>E3506+F3506</f>
        <v/>
      </c>
    </row>
    <row r="106">
      <c r="A106" t="inlineStr">
        <is>
          <t>36200819</t>
        </is>
      </c>
      <c r="B106" t="inlineStr">
        <is>
          <t>PRODUCTO 459D32</t>
        </is>
      </c>
      <c r="C106" t="inlineStr">
        <is>
          <t>San Miguel</t>
        </is>
      </c>
      <c r="D106" t="inlineStr">
        <is>
          <t>30/08/2026</t>
        </is>
      </c>
      <c r="E106" t="n">
        <v>1</v>
      </c>
      <c r="F106" t="n">
        <v>0</v>
      </c>
      <c r="G106">
        <f>E3507+F3507</f>
        <v/>
      </c>
    </row>
    <row r="107">
      <c r="A107" t="inlineStr">
        <is>
          <t>36200819</t>
        </is>
      </c>
      <c r="B107" t="inlineStr">
        <is>
          <t>PRODUCTO 459D32</t>
        </is>
      </c>
      <c r="C107" t="inlineStr">
        <is>
          <t>San Borja</t>
        </is>
      </c>
      <c r="D107" t="inlineStr">
        <is>
          <t>30/08/2026</t>
        </is>
      </c>
      <c r="E107" t="n">
        <v>1</v>
      </c>
      <c r="F107" t="n">
        <v>0</v>
      </c>
      <c r="G107">
        <f>E3513+F3513</f>
        <v/>
      </c>
    </row>
    <row r="108">
      <c r="A108" t="inlineStr">
        <is>
          <t>36200819</t>
        </is>
      </c>
      <c r="B108" t="inlineStr">
        <is>
          <t>PRODUCTO 459D32</t>
        </is>
      </c>
      <c r="C108" t="inlineStr">
        <is>
          <t>Piura</t>
        </is>
      </c>
      <c r="D108" t="inlineStr">
        <is>
          <t>30/08/2026</t>
        </is>
      </c>
      <c r="E108" t="n">
        <v>46</v>
      </c>
      <c r="F108" t="n">
        <v>0</v>
      </c>
      <c r="G108">
        <f>E3519+F3519</f>
        <v/>
      </c>
    </row>
    <row r="109">
      <c r="A109" t="inlineStr">
        <is>
          <t>36622333</t>
        </is>
      </c>
      <c r="B109" t="inlineStr">
        <is>
          <t>PRODUCTO 418ABB</t>
        </is>
      </c>
      <c r="C109" t="inlineStr">
        <is>
          <t>Jockey Plaza</t>
        </is>
      </c>
      <c r="D109" t="inlineStr">
        <is>
          <t>30/08/2026</t>
        </is>
      </c>
      <c r="E109" t="n">
        <v>1</v>
      </c>
      <c r="F109" t="n">
        <v>0</v>
      </c>
      <c r="G109">
        <f>E3756+F3756</f>
        <v/>
      </c>
    </row>
    <row r="110">
      <c r="A110" t="inlineStr">
        <is>
          <t>36622333</t>
        </is>
      </c>
      <c r="B110" t="inlineStr">
        <is>
          <t>PRODUCTO 418ABB</t>
        </is>
      </c>
      <c r="C110" t="inlineStr">
        <is>
          <t>San Miguel</t>
        </is>
      </c>
      <c r="D110" t="inlineStr">
        <is>
          <t>30/08/2026</t>
        </is>
      </c>
      <c r="E110" t="n">
        <v>1</v>
      </c>
      <c r="F110" t="n">
        <v>0</v>
      </c>
      <c r="G110">
        <f>E3757+F3757</f>
        <v/>
      </c>
    </row>
    <row r="111">
      <c r="A111" t="inlineStr">
        <is>
          <t>36622333</t>
        </is>
      </c>
      <c r="B111" t="inlineStr">
        <is>
          <t>PRODUCTO 418ABB</t>
        </is>
      </c>
      <c r="C111" t="inlineStr">
        <is>
          <t>Salaverry</t>
        </is>
      </c>
      <c r="D111" t="inlineStr">
        <is>
          <t>30/08/2026</t>
        </is>
      </c>
      <c r="E111" t="n">
        <v>8</v>
      </c>
      <c r="F111" t="n">
        <v>0</v>
      </c>
      <c r="G111">
        <f>E3763+F3763</f>
        <v/>
      </c>
    </row>
    <row r="112">
      <c r="A112" t="inlineStr">
        <is>
          <t>36647371</t>
        </is>
      </c>
      <c r="B112" t="inlineStr">
        <is>
          <t>PRODUCTO ADFC17</t>
        </is>
      </c>
      <c r="C112" t="inlineStr">
        <is>
          <t>Jockey Plaza</t>
        </is>
      </c>
      <c r="D112" t="inlineStr">
        <is>
          <t>30/08/2026</t>
        </is>
      </c>
      <c r="E112" t="n">
        <v>4</v>
      </c>
      <c r="F112" t="n">
        <v>0</v>
      </c>
      <c r="G112">
        <f>E3850+F3850</f>
        <v/>
      </c>
    </row>
    <row r="113">
      <c r="A113" t="inlineStr">
        <is>
          <t>36647371</t>
        </is>
      </c>
      <c r="B113" t="inlineStr">
        <is>
          <t>PRODUCTO ADFC17</t>
        </is>
      </c>
      <c r="C113" t="inlineStr">
        <is>
          <t>San Miguel</t>
        </is>
      </c>
      <c r="D113" t="inlineStr">
        <is>
          <t>30/08/2026</t>
        </is>
      </c>
      <c r="E113" t="n">
        <v>11</v>
      </c>
      <c r="F113" t="n">
        <v>0</v>
      </c>
      <c r="G113">
        <f>E3851+F3851</f>
        <v/>
      </c>
    </row>
    <row r="114">
      <c r="A114" t="inlineStr">
        <is>
          <t>36647371</t>
        </is>
      </c>
      <c r="B114" t="inlineStr">
        <is>
          <t>PRODUCTO ADFC17</t>
        </is>
      </c>
      <c r="C114" t="inlineStr">
        <is>
          <t>San Borja</t>
        </is>
      </c>
      <c r="D114" t="inlineStr">
        <is>
          <t>30/08/2026</t>
        </is>
      </c>
      <c r="E114" t="n">
        <v>5</v>
      </c>
      <c r="F114" t="n">
        <v>0</v>
      </c>
      <c r="G114">
        <f>E3857+F3857</f>
        <v/>
      </c>
    </row>
    <row r="115">
      <c r="A115" t="inlineStr">
        <is>
          <t>36647371</t>
        </is>
      </c>
      <c r="B115" t="inlineStr">
        <is>
          <t>PRODUCTO ADFC17</t>
        </is>
      </c>
      <c r="C115" t="inlineStr">
        <is>
          <t>Piura</t>
        </is>
      </c>
      <c r="D115" t="inlineStr">
        <is>
          <t>30/08/2026</t>
        </is>
      </c>
      <c r="E115" t="n">
        <v>8</v>
      </c>
      <c r="F115" t="n">
        <v>0</v>
      </c>
      <c r="G115">
        <f>E3864+F3864</f>
        <v/>
      </c>
    </row>
    <row r="116">
      <c r="A116" t="inlineStr">
        <is>
          <t>36658901</t>
        </is>
      </c>
      <c r="B116" t="inlineStr">
        <is>
          <t>PRODUCTO 0EB295</t>
        </is>
      </c>
      <c r="C116" t="inlineStr">
        <is>
          <t>Jockey Plaza</t>
        </is>
      </c>
      <c r="D116" t="inlineStr">
        <is>
          <t>30/08/2026</t>
        </is>
      </c>
      <c r="E116" t="n">
        <v>33</v>
      </c>
      <c r="F116" t="n">
        <v>0</v>
      </c>
      <c r="G116">
        <f>E3995+F3995</f>
        <v/>
      </c>
    </row>
    <row r="117">
      <c r="A117" t="inlineStr">
        <is>
          <t>36658901</t>
        </is>
      </c>
      <c r="B117" t="inlineStr">
        <is>
          <t>PRODUCTO 0EB295</t>
        </is>
      </c>
      <c r="C117" t="inlineStr">
        <is>
          <t>San Miguel</t>
        </is>
      </c>
      <c r="D117" t="inlineStr">
        <is>
          <t>30/08/2026</t>
        </is>
      </c>
      <c r="E117" t="n">
        <v>71</v>
      </c>
      <c r="F117" t="n">
        <v>0</v>
      </c>
      <c r="G117">
        <f>E3996+F3996</f>
        <v/>
      </c>
    </row>
    <row r="118">
      <c r="A118" t="inlineStr">
        <is>
          <t>36658901</t>
        </is>
      </c>
      <c r="B118" t="inlineStr">
        <is>
          <t>PRODUCTO 0EB295</t>
        </is>
      </c>
      <c r="C118" t="inlineStr">
        <is>
          <t>Miraflores</t>
        </is>
      </c>
      <c r="D118" t="inlineStr">
        <is>
          <t>30/08/2026</t>
        </is>
      </c>
      <c r="E118" t="n">
        <v>37</v>
      </c>
      <c r="F118" t="n">
        <v>0</v>
      </c>
      <c r="G118">
        <f>E3997+F3997</f>
        <v/>
      </c>
    </row>
    <row r="119">
      <c r="A119" t="inlineStr">
        <is>
          <t>36658901</t>
        </is>
      </c>
      <c r="B119" t="inlineStr">
        <is>
          <t>PRODUCTO 0EB295</t>
        </is>
      </c>
      <c r="C119" t="inlineStr">
        <is>
          <t>Salaverry</t>
        </is>
      </c>
      <c r="D119" t="inlineStr">
        <is>
          <t>30/08/2026</t>
        </is>
      </c>
      <c r="E119" t="n">
        <v>22</v>
      </c>
      <c r="F119" t="n">
        <v>0</v>
      </c>
      <c r="G119">
        <f>E4006+F4006</f>
        <v/>
      </c>
    </row>
    <row r="120">
      <c r="A120" t="inlineStr">
        <is>
          <t>36658901</t>
        </is>
      </c>
      <c r="B120" t="inlineStr">
        <is>
          <t>PRODUCTO 0EB295</t>
        </is>
      </c>
      <c r="C120" t="inlineStr">
        <is>
          <t>San Borja</t>
        </is>
      </c>
      <c r="D120" t="inlineStr">
        <is>
          <t>30/08/2026</t>
        </is>
      </c>
      <c r="E120" t="n">
        <v>17</v>
      </c>
      <c r="F120" t="n">
        <v>0</v>
      </c>
      <c r="G120">
        <f>E4007+F4007</f>
        <v/>
      </c>
    </row>
    <row r="121">
      <c r="A121" t="inlineStr">
        <is>
          <t>36658901</t>
        </is>
      </c>
      <c r="B121" t="inlineStr">
        <is>
          <t>PRODUCTO 0EB295</t>
        </is>
      </c>
      <c r="C121" t="inlineStr">
        <is>
          <t>Piura</t>
        </is>
      </c>
      <c r="D121" t="inlineStr">
        <is>
          <t>30/08/2026</t>
        </is>
      </c>
      <c r="E121" t="n">
        <v>2</v>
      </c>
      <c r="F121" t="n">
        <v>0</v>
      </c>
      <c r="G121">
        <f>E4015+F4015</f>
        <v/>
      </c>
    </row>
    <row r="122">
      <c r="A122" t="inlineStr">
        <is>
          <t>36863178</t>
        </is>
      </c>
      <c r="B122" t="inlineStr">
        <is>
          <t>PRODUCTO C2C776</t>
        </is>
      </c>
      <c r="C122" t="inlineStr">
        <is>
          <t>Jockey Plaza</t>
        </is>
      </c>
      <c r="D122" t="inlineStr">
        <is>
          <t>30/08/2026</t>
        </is>
      </c>
      <c r="E122" t="n">
        <v>29</v>
      </c>
      <c r="F122" t="n">
        <v>0</v>
      </c>
      <c r="G122">
        <f>E4212+F4212</f>
        <v/>
      </c>
    </row>
    <row r="123">
      <c r="A123" t="inlineStr">
        <is>
          <t>36863178</t>
        </is>
      </c>
      <c r="B123" t="inlineStr">
        <is>
          <t>PRODUCTO C2C776</t>
        </is>
      </c>
      <c r="C123" t="inlineStr">
        <is>
          <t>San Miguel</t>
        </is>
      </c>
      <c r="D123" t="inlineStr">
        <is>
          <t>30/08/2026</t>
        </is>
      </c>
      <c r="E123" t="n">
        <v>28</v>
      </c>
      <c r="F123" t="n">
        <v>0</v>
      </c>
      <c r="G123">
        <f>E4213+F4213</f>
        <v/>
      </c>
    </row>
    <row r="124">
      <c r="A124" t="inlineStr">
        <is>
          <t>36863178</t>
        </is>
      </c>
      <c r="B124" t="inlineStr">
        <is>
          <t>PRODUCTO C2C776</t>
        </is>
      </c>
      <c r="C124" t="inlineStr">
        <is>
          <t>Miraflores</t>
        </is>
      </c>
      <c r="D124" t="inlineStr">
        <is>
          <t>30/08/2026</t>
        </is>
      </c>
      <c r="E124" t="n">
        <v>21</v>
      </c>
      <c r="F124" t="n">
        <v>0</v>
      </c>
      <c r="G124">
        <f>E4214+F4214</f>
        <v/>
      </c>
    </row>
    <row r="125">
      <c r="A125" t="inlineStr">
        <is>
          <t>36863178</t>
        </is>
      </c>
      <c r="B125" t="inlineStr">
        <is>
          <t>PRODUCTO C2C776</t>
        </is>
      </c>
      <c r="C125" t="inlineStr">
        <is>
          <t>Salaverry</t>
        </is>
      </c>
      <c r="D125" t="inlineStr">
        <is>
          <t>30/08/2026</t>
        </is>
      </c>
      <c r="E125" t="n">
        <v>24</v>
      </c>
      <c r="F125" t="n">
        <v>0</v>
      </c>
      <c r="G125">
        <f>E4223+F4223</f>
        <v/>
      </c>
    </row>
    <row r="126">
      <c r="A126" t="inlineStr">
        <is>
          <t>36863178</t>
        </is>
      </c>
      <c r="B126" t="inlineStr">
        <is>
          <t>PRODUCTO C2C776</t>
        </is>
      </c>
      <c r="C126" t="inlineStr">
        <is>
          <t>San Borja</t>
        </is>
      </c>
      <c r="D126" t="inlineStr">
        <is>
          <t>30/08/2026</t>
        </is>
      </c>
      <c r="E126" t="n">
        <v>30</v>
      </c>
      <c r="F126" t="n">
        <v>0</v>
      </c>
      <c r="G126">
        <f>E4224+F4224</f>
        <v/>
      </c>
    </row>
    <row r="127">
      <c r="A127" t="inlineStr">
        <is>
          <t>36863178</t>
        </is>
      </c>
      <c r="B127" t="inlineStr">
        <is>
          <t>PRODUCTO C2C776</t>
        </is>
      </c>
      <c r="C127" t="inlineStr">
        <is>
          <t>Piura</t>
        </is>
      </c>
      <c r="D127" t="inlineStr">
        <is>
          <t>30/08/2026</t>
        </is>
      </c>
      <c r="E127" t="n">
        <v>20</v>
      </c>
      <c r="F127" t="n">
        <v>0</v>
      </c>
      <c r="G127">
        <f>E4231+F4231</f>
        <v/>
      </c>
    </row>
    <row r="128">
      <c r="A128" t="inlineStr">
        <is>
          <t>22405600</t>
        </is>
      </c>
      <c r="B128" t="inlineStr">
        <is>
          <t>PRODUCTO 2B7637</t>
        </is>
      </c>
      <c r="C128" t="inlineStr">
        <is>
          <t>San Borja</t>
        </is>
      </c>
      <c r="D128" t="inlineStr">
        <is>
          <t>30/08/2026</t>
        </is>
      </c>
      <c r="E128" t="n">
        <v>1</v>
      </c>
      <c r="F128" t="n">
        <v>0</v>
      </c>
      <c r="G128">
        <f>E4612+F4612</f>
        <v/>
      </c>
    </row>
    <row r="129">
      <c r="A129" t="inlineStr">
        <is>
          <t>28943467</t>
        </is>
      </c>
      <c r="B129" t="inlineStr">
        <is>
          <t>PRODUCTO 6ADAFE</t>
        </is>
      </c>
      <c r="C129" t="inlineStr">
        <is>
          <t>Jockey Plaza</t>
        </is>
      </c>
      <c r="D129" t="inlineStr">
        <is>
          <t>30/08/2026</t>
        </is>
      </c>
      <c r="E129" t="n">
        <v>6</v>
      </c>
      <c r="F129" t="n">
        <v>0</v>
      </c>
      <c r="G129">
        <f>E4889+F4889</f>
        <v/>
      </c>
    </row>
    <row r="130">
      <c r="A130" t="inlineStr">
        <is>
          <t>28943467</t>
        </is>
      </c>
      <c r="B130" t="inlineStr">
        <is>
          <t>PRODUCTO 6ADAFE</t>
        </is>
      </c>
      <c r="C130" t="inlineStr">
        <is>
          <t>San Miguel</t>
        </is>
      </c>
      <c r="D130" t="inlineStr">
        <is>
          <t>30/08/2026</t>
        </is>
      </c>
      <c r="E130" t="n">
        <v>10</v>
      </c>
      <c r="F130" t="n">
        <v>0</v>
      </c>
      <c r="G130">
        <f>E4890+F4890</f>
        <v/>
      </c>
    </row>
    <row r="131">
      <c r="A131" t="inlineStr">
        <is>
          <t>28943467</t>
        </is>
      </c>
      <c r="B131" t="inlineStr">
        <is>
          <t>PRODUCTO 6ADAFE</t>
        </is>
      </c>
      <c r="C131" t="inlineStr">
        <is>
          <t>Miraflores</t>
        </is>
      </c>
      <c r="D131" t="inlineStr">
        <is>
          <t>30/08/2026</t>
        </is>
      </c>
      <c r="E131" t="n">
        <v>12</v>
      </c>
      <c r="F131" t="n">
        <v>0</v>
      </c>
      <c r="G131">
        <f>E4891+F4891</f>
        <v/>
      </c>
    </row>
    <row r="132">
      <c r="A132" t="inlineStr">
        <is>
          <t>28943467</t>
        </is>
      </c>
      <c r="B132" t="inlineStr">
        <is>
          <t>PRODUCTO 6ADAFE</t>
        </is>
      </c>
      <c r="C132" t="inlineStr">
        <is>
          <t>Salaverry</t>
        </is>
      </c>
      <c r="D132" t="inlineStr">
        <is>
          <t>30/08/2026</t>
        </is>
      </c>
      <c r="E132" t="n">
        <v>10</v>
      </c>
      <c r="F132" t="n">
        <v>0</v>
      </c>
      <c r="G132">
        <f>E4898+F4898</f>
        <v/>
      </c>
    </row>
    <row r="133">
      <c r="A133" t="inlineStr">
        <is>
          <t>28943467</t>
        </is>
      </c>
      <c r="B133" t="inlineStr">
        <is>
          <t>PRODUCTO 6ADAFE</t>
        </is>
      </c>
      <c r="C133" t="inlineStr">
        <is>
          <t>San Borja</t>
        </is>
      </c>
      <c r="D133" t="inlineStr">
        <is>
          <t>30/08/2026</t>
        </is>
      </c>
      <c r="E133" t="n">
        <v>5</v>
      </c>
      <c r="F133" t="n">
        <v>0</v>
      </c>
      <c r="G133">
        <f>E4899+F4899</f>
        <v/>
      </c>
    </row>
    <row r="134">
      <c r="A134" t="inlineStr">
        <is>
          <t>28943467</t>
        </is>
      </c>
      <c r="B134" t="inlineStr">
        <is>
          <t>PRODUCTO 6ADAFE</t>
        </is>
      </c>
      <c r="C134" t="inlineStr">
        <is>
          <t>Piura</t>
        </is>
      </c>
      <c r="D134" t="inlineStr">
        <is>
          <t>30/08/2026</t>
        </is>
      </c>
      <c r="E134" t="n">
        <v>12</v>
      </c>
      <c r="F134" t="n">
        <v>0</v>
      </c>
      <c r="G134">
        <f>E4901+F4901</f>
        <v/>
      </c>
    </row>
    <row r="135">
      <c r="A135" t="inlineStr">
        <is>
          <t>28943525</t>
        </is>
      </c>
      <c r="B135" t="inlineStr">
        <is>
          <t>PRODUCTO 88AFE1</t>
        </is>
      </c>
      <c r="C135" t="inlineStr">
        <is>
          <t>Jockey Plaza</t>
        </is>
      </c>
      <c r="D135" t="inlineStr">
        <is>
          <t>30/08/2026</t>
        </is>
      </c>
      <c r="E135" t="n">
        <v>3</v>
      </c>
      <c r="F135" t="n">
        <v>0</v>
      </c>
      <c r="G135">
        <f>E4907+F4907</f>
        <v/>
      </c>
    </row>
    <row r="136">
      <c r="A136" t="inlineStr">
        <is>
          <t>28943525</t>
        </is>
      </c>
      <c r="B136" t="inlineStr">
        <is>
          <t>PRODUCTO 88AFE1</t>
        </is>
      </c>
      <c r="C136" t="inlineStr">
        <is>
          <t>San Miguel</t>
        </is>
      </c>
      <c r="D136" t="inlineStr">
        <is>
          <t>30/08/2026</t>
        </is>
      </c>
      <c r="E136" t="n">
        <v>14</v>
      </c>
      <c r="F136" t="n">
        <v>0</v>
      </c>
      <c r="G136">
        <f>E4908+F4908</f>
        <v/>
      </c>
    </row>
    <row r="137">
      <c r="A137" t="inlineStr">
        <is>
          <t>28943525</t>
        </is>
      </c>
      <c r="B137" t="inlineStr">
        <is>
          <t>PRODUCTO 88AFE1</t>
        </is>
      </c>
      <c r="C137" t="inlineStr">
        <is>
          <t>Miraflores</t>
        </is>
      </c>
      <c r="D137" t="inlineStr">
        <is>
          <t>30/08/2026</t>
        </is>
      </c>
      <c r="E137" t="n">
        <v>17</v>
      </c>
      <c r="F137" t="n">
        <v>0</v>
      </c>
      <c r="G137">
        <f>E4909+F4909</f>
        <v/>
      </c>
    </row>
    <row r="138">
      <c r="A138" t="inlineStr">
        <is>
          <t>28943525</t>
        </is>
      </c>
      <c r="B138" t="inlineStr">
        <is>
          <t>PRODUCTO 88AFE1</t>
        </is>
      </c>
      <c r="C138" t="inlineStr">
        <is>
          <t>Salaverry</t>
        </is>
      </c>
      <c r="D138" t="inlineStr">
        <is>
          <t>30/08/2026</t>
        </is>
      </c>
      <c r="E138" t="n">
        <v>14</v>
      </c>
      <c r="F138" t="n">
        <v>0</v>
      </c>
      <c r="G138">
        <f>E4916+F4916</f>
        <v/>
      </c>
    </row>
    <row r="139">
      <c r="A139" t="inlineStr">
        <is>
          <t>28943525</t>
        </is>
      </c>
      <c r="B139" t="inlineStr">
        <is>
          <t>PRODUCTO 88AFE1</t>
        </is>
      </c>
      <c r="C139" t="inlineStr">
        <is>
          <t>San Borja</t>
        </is>
      </c>
      <c r="D139" t="inlineStr">
        <is>
          <t>30/08/2026</t>
        </is>
      </c>
      <c r="E139" t="n">
        <v>5</v>
      </c>
      <c r="F139" t="n">
        <v>0</v>
      </c>
      <c r="G139">
        <f>E4917+F4917</f>
        <v/>
      </c>
    </row>
    <row r="140">
      <c r="A140" t="inlineStr">
        <is>
          <t>28943525</t>
        </is>
      </c>
      <c r="B140" t="inlineStr">
        <is>
          <t>PRODUCTO 88AFE1</t>
        </is>
      </c>
      <c r="C140" t="inlineStr">
        <is>
          <t>Piura</t>
        </is>
      </c>
      <c r="D140" t="inlineStr">
        <is>
          <t>30/08/2026</t>
        </is>
      </c>
      <c r="E140" t="n">
        <v>12</v>
      </c>
      <c r="F140" t="n">
        <v>0</v>
      </c>
      <c r="G140">
        <f>E4920+F4920</f>
        <v/>
      </c>
    </row>
    <row r="141">
      <c r="A141" t="inlineStr">
        <is>
          <t>31684401</t>
        </is>
      </c>
      <c r="B141" t="inlineStr">
        <is>
          <t>PRODUCTO 12B7E1</t>
        </is>
      </c>
      <c r="C141" t="inlineStr">
        <is>
          <t>Jockey Plaza</t>
        </is>
      </c>
      <c r="D141" t="inlineStr">
        <is>
          <t>30/08/2026</t>
        </is>
      </c>
      <c r="E141" t="n">
        <v>7</v>
      </c>
      <c r="F141" t="n">
        <v>0</v>
      </c>
      <c r="G141">
        <f>E4972+F4972</f>
        <v/>
      </c>
    </row>
    <row r="142">
      <c r="A142" t="inlineStr">
        <is>
          <t>31684401</t>
        </is>
      </c>
      <c r="B142" t="inlineStr">
        <is>
          <t>PRODUCTO 12B7E1</t>
        </is>
      </c>
      <c r="C142" t="inlineStr">
        <is>
          <t>San Miguel</t>
        </is>
      </c>
      <c r="D142" t="inlineStr">
        <is>
          <t>30/08/2026</t>
        </is>
      </c>
      <c r="E142" t="n">
        <v>12</v>
      </c>
      <c r="F142" t="n">
        <v>0</v>
      </c>
      <c r="G142">
        <f>E4973+F4973</f>
        <v/>
      </c>
    </row>
    <row r="143">
      <c r="A143" t="inlineStr">
        <is>
          <t>31684401</t>
        </is>
      </c>
      <c r="B143" t="inlineStr">
        <is>
          <t>PRODUCTO 12B7E1</t>
        </is>
      </c>
      <c r="C143" t="inlineStr">
        <is>
          <t>Miraflores</t>
        </is>
      </c>
      <c r="D143" t="inlineStr">
        <is>
          <t>30/08/2026</t>
        </is>
      </c>
      <c r="E143" t="n">
        <v>7</v>
      </c>
      <c r="F143" t="n">
        <v>0</v>
      </c>
      <c r="G143">
        <f>E4974+F4974</f>
        <v/>
      </c>
    </row>
    <row r="144">
      <c r="A144" t="inlineStr">
        <is>
          <t>31684401</t>
        </is>
      </c>
      <c r="B144" t="inlineStr">
        <is>
          <t>PRODUCTO 12B7E1</t>
        </is>
      </c>
      <c r="C144" t="inlineStr">
        <is>
          <t>Salaverry</t>
        </is>
      </c>
      <c r="D144" t="inlineStr">
        <is>
          <t>30/08/2026</t>
        </is>
      </c>
      <c r="E144" t="n">
        <v>14</v>
      </c>
      <c r="F144" t="n">
        <v>0</v>
      </c>
      <c r="G144">
        <f>E4981+F4981</f>
        <v/>
      </c>
    </row>
    <row r="145">
      <c r="A145" t="inlineStr">
        <is>
          <t>31684401</t>
        </is>
      </c>
      <c r="B145" t="inlineStr">
        <is>
          <t>PRODUCTO 12B7E1</t>
        </is>
      </c>
      <c r="C145" t="inlineStr">
        <is>
          <t>San Borja</t>
        </is>
      </c>
      <c r="D145" t="inlineStr">
        <is>
          <t>30/08/2026</t>
        </is>
      </c>
      <c r="E145" t="n">
        <v>16</v>
      </c>
      <c r="F145" t="n">
        <v>0</v>
      </c>
      <c r="G145">
        <f>E4982+F4982</f>
        <v/>
      </c>
    </row>
    <row r="146">
      <c r="A146" t="inlineStr">
        <is>
          <t>31684401</t>
        </is>
      </c>
      <c r="B146" t="inlineStr">
        <is>
          <t>PRODUCTO 12B7E1</t>
        </is>
      </c>
      <c r="C146" t="inlineStr">
        <is>
          <t>Piura</t>
        </is>
      </c>
      <c r="D146" t="inlineStr">
        <is>
          <t>30/08/2026</t>
        </is>
      </c>
      <c r="E146" t="n">
        <v>16</v>
      </c>
      <c r="F146" t="n">
        <v>0</v>
      </c>
      <c r="G146">
        <f>E4984+F4984</f>
        <v/>
      </c>
    </row>
    <row r="147">
      <c r="A147" t="inlineStr">
        <is>
          <t>31684425</t>
        </is>
      </c>
      <c r="B147" t="inlineStr">
        <is>
          <t>PRODUCTO A4ECD1</t>
        </is>
      </c>
      <c r="C147" t="inlineStr">
        <is>
          <t>Jockey Plaza</t>
        </is>
      </c>
      <c r="D147" t="inlineStr">
        <is>
          <t>30/08/2026</t>
        </is>
      </c>
      <c r="E147" t="n">
        <v>12</v>
      </c>
      <c r="F147" t="n">
        <v>0</v>
      </c>
      <c r="G147">
        <f>E5008+F5008</f>
        <v/>
      </c>
    </row>
    <row r="148">
      <c r="A148" t="inlineStr">
        <is>
          <t>31684425</t>
        </is>
      </c>
      <c r="B148" t="inlineStr">
        <is>
          <t>PRODUCTO A4ECD1</t>
        </is>
      </c>
      <c r="C148" t="inlineStr">
        <is>
          <t>San Miguel</t>
        </is>
      </c>
      <c r="D148" t="inlineStr">
        <is>
          <t>30/08/2026</t>
        </is>
      </c>
      <c r="E148" t="n">
        <v>12</v>
      </c>
      <c r="F148" t="n">
        <v>0</v>
      </c>
      <c r="G148">
        <f>E5009+F5009</f>
        <v/>
      </c>
    </row>
    <row r="149">
      <c r="A149" t="inlineStr">
        <is>
          <t>31684425</t>
        </is>
      </c>
      <c r="B149" t="inlineStr">
        <is>
          <t>PRODUCTO A4ECD1</t>
        </is>
      </c>
      <c r="C149" t="inlineStr">
        <is>
          <t>Miraflores</t>
        </is>
      </c>
      <c r="D149" t="inlineStr">
        <is>
          <t>30/08/2026</t>
        </is>
      </c>
      <c r="E149" t="n">
        <v>5</v>
      </c>
      <c r="F149" t="n">
        <v>0</v>
      </c>
      <c r="G149">
        <f>E5010+F5010</f>
        <v/>
      </c>
    </row>
    <row r="150">
      <c r="A150" t="inlineStr">
        <is>
          <t>31684425</t>
        </is>
      </c>
      <c r="B150" t="inlineStr">
        <is>
          <t>PRODUCTO A4ECD1</t>
        </is>
      </c>
      <c r="C150" t="inlineStr">
        <is>
          <t>Salaverry</t>
        </is>
      </c>
      <c r="D150" t="inlineStr">
        <is>
          <t>30/08/2026</t>
        </is>
      </c>
      <c r="E150" t="n">
        <v>12</v>
      </c>
      <c r="F150" t="n">
        <v>0</v>
      </c>
      <c r="G150">
        <f>E5017+F5017</f>
        <v/>
      </c>
    </row>
    <row r="151">
      <c r="A151" t="inlineStr">
        <is>
          <t>31684425</t>
        </is>
      </c>
      <c r="B151" t="inlineStr">
        <is>
          <t>PRODUCTO A4ECD1</t>
        </is>
      </c>
      <c r="C151" t="inlineStr">
        <is>
          <t>San Borja</t>
        </is>
      </c>
      <c r="D151" t="inlineStr">
        <is>
          <t>30/08/2026</t>
        </is>
      </c>
      <c r="E151" t="n">
        <v>16</v>
      </c>
      <c r="F151" t="n">
        <v>0</v>
      </c>
      <c r="G151">
        <f>E5018+F5018</f>
        <v/>
      </c>
    </row>
    <row r="152">
      <c r="A152" t="inlineStr">
        <is>
          <t>31684425</t>
        </is>
      </c>
      <c r="B152" t="inlineStr">
        <is>
          <t>PRODUCTO A4ECD1</t>
        </is>
      </c>
      <c r="C152" t="inlineStr">
        <is>
          <t>Piura</t>
        </is>
      </c>
      <c r="D152" t="inlineStr">
        <is>
          <t>30/08/2026</t>
        </is>
      </c>
      <c r="E152" t="n">
        <v>13</v>
      </c>
      <c r="F152" t="n">
        <v>0</v>
      </c>
      <c r="G152">
        <f>E5020+F5020</f>
        <v/>
      </c>
    </row>
    <row r="153">
      <c r="A153" t="inlineStr">
        <is>
          <t>32912976</t>
        </is>
      </c>
      <c r="B153" t="inlineStr">
        <is>
          <t>PRODUCTO AA4CBC</t>
        </is>
      </c>
      <c r="C153" t="inlineStr">
        <is>
          <t>Jockey Plaza</t>
        </is>
      </c>
      <c r="D153" t="inlineStr">
        <is>
          <t>30/08/2026</t>
        </is>
      </c>
      <c r="E153" t="n">
        <v>8</v>
      </c>
      <c r="F153" t="n">
        <v>0</v>
      </c>
      <c r="G153">
        <f>E5172+F5172</f>
        <v/>
      </c>
    </row>
    <row r="154">
      <c r="A154" t="inlineStr">
        <is>
          <t>32912976</t>
        </is>
      </c>
      <c r="B154" t="inlineStr">
        <is>
          <t>PRODUCTO AA4CBC</t>
        </is>
      </c>
      <c r="C154" t="inlineStr">
        <is>
          <t>San Miguel</t>
        </is>
      </c>
      <c r="D154" t="inlineStr">
        <is>
          <t>30/08/2026</t>
        </is>
      </c>
      <c r="E154" t="n">
        <v>5</v>
      </c>
      <c r="F154" t="n">
        <v>0</v>
      </c>
      <c r="G154">
        <f>E5173+F5173</f>
        <v/>
      </c>
    </row>
    <row r="155">
      <c r="A155" t="inlineStr">
        <is>
          <t>32912976</t>
        </is>
      </c>
      <c r="B155" t="inlineStr">
        <is>
          <t>PRODUCTO AA4CBC</t>
        </is>
      </c>
      <c r="C155" t="inlineStr">
        <is>
          <t>Miraflores</t>
        </is>
      </c>
      <c r="D155" t="inlineStr">
        <is>
          <t>30/08/2026</t>
        </is>
      </c>
      <c r="E155" t="n">
        <v>6</v>
      </c>
      <c r="F155" t="n">
        <v>0</v>
      </c>
      <c r="G155">
        <f>E5174+F5174</f>
        <v/>
      </c>
    </row>
    <row r="156">
      <c r="A156" t="inlineStr">
        <is>
          <t>32912976</t>
        </is>
      </c>
      <c r="B156" t="inlineStr">
        <is>
          <t>PRODUCTO AA4CBC</t>
        </is>
      </c>
      <c r="C156" t="inlineStr">
        <is>
          <t>Salaverry</t>
        </is>
      </c>
      <c r="D156" t="inlineStr">
        <is>
          <t>30/08/2026</t>
        </is>
      </c>
      <c r="E156" t="n">
        <v>5</v>
      </c>
      <c r="F156" t="n">
        <v>0</v>
      </c>
      <c r="G156">
        <f>E5181+F5181</f>
        <v/>
      </c>
    </row>
    <row r="157">
      <c r="A157" t="inlineStr">
        <is>
          <t>32912976</t>
        </is>
      </c>
      <c r="B157" t="inlineStr">
        <is>
          <t>PRODUCTO AA4CBC</t>
        </is>
      </c>
      <c r="C157" t="inlineStr">
        <is>
          <t>San Borja</t>
        </is>
      </c>
      <c r="D157" t="inlineStr">
        <is>
          <t>30/08/2026</t>
        </is>
      </c>
      <c r="E157" t="n">
        <v>6</v>
      </c>
      <c r="F157" t="n">
        <v>0</v>
      </c>
      <c r="G157">
        <f>E5182+F5182</f>
        <v/>
      </c>
    </row>
    <row r="158">
      <c r="A158" t="inlineStr">
        <is>
          <t>32912976</t>
        </is>
      </c>
      <c r="B158" t="inlineStr">
        <is>
          <t>PRODUCTO AA4CBC</t>
        </is>
      </c>
      <c r="C158" t="inlineStr">
        <is>
          <t>Piura</t>
        </is>
      </c>
      <c r="D158" t="inlineStr">
        <is>
          <t>30/08/2026</t>
        </is>
      </c>
      <c r="E158" t="n">
        <v>4</v>
      </c>
      <c r="F158" t="n">
        <v>0</v>
      </c>
      <c r="G158">
        <f>E5184+F5184</f>
        <v/>
      </c>
    </row>
    <row r="159">
      <c r="A159" t="inlineStr">
        <is>
          <t>32912981</t>
        </is>
      </c>
      <c r="B159" t="inlineStr">
        <is>
          <t>PRODUCTO 99EEEF</t>
        </is>
      </c>
      <c r="C159" t="inlineStr">
        <is>
          <t>Jockey Plaza</t>
        </is>
      </c>
      <c r="D159" t="inlineStr">
        <is>
          <t>30/08/2026</t>
        </is>
      </c>
      <c r="E159" t="n">
        <v>7</v>
      </c>
      <c r="F159" t="n">
        <v>0</v>
      </c>
      <c r="G159">
        <f>E5188+F5188</f>
        <v/>
      </c>
    </row>
    <row r="160">
      <c r="A160" t="inlineStr">
        <is>
          <t>32912981</t>
        </is>
      </c>
      <c r="B160" t="inlineStr">
        <is>
          <t>PRODUCTO 99EEEF</t>
        </is>
      </c>
      <c r="C160" t="inlineStr">
        <is>
          <t>San Miguel</t>
        </is>
      </c>
      <c r="D160" t="inlineStr">
        <is>
          <t>30/08/2026</t>
        </is>
      </c>
      <c r="E160" t="n">
        <v>3</v>
      </c>
      <c r="F160" t="n">
        <v>0</v>
      </c>
      <c r="G160">
        <f>E5189+F5189</f>
        <v/>
      </c>
    </row>
    <row r="161">
      <c r="A161" t="inlineStr">
        <is>
          <t>32912981</t>
        </is>
      </c>
      <c r="B161" t="inlineStr">
        <is>
          <t>PRODUCTO 99EEEF</t>
        </is>
      </c>
      <c r="C161" t="inlineStr">
        <is>
          <t>Miraflores</t>
        </is>
      </c>
      <c r="D161" t="inlineStr">
        <is>
          <t>30/08/2026</t>
        </is>
      </c>
      <c r="E161" t="n">
        <v>5</v>
      </c>
      <c r="F161" t="n">
        <v>0</v>
      </c>
      <c r="G161">
        <f>E5190+F5190</f>
        <v/>
      </c>
    </row>
    <row r="162">
      <c r="A162" t="inlineStr">
        <is>
          <t>32912981</t>
        </is>
      </c>
      <c r="B162" t="inlineStr">
        <is>
          <t>PRODUCTO 99EEEF</t>
        </is>
      </c>
      <c r="C162" t="inlineStr">
        <is>
          <t>Salaverry</t>
        </is>
      </c>
      <c r="D162" t="inlineStr">
        <is>
          <t>30/08/2026</t>
        </is>
      </c>
      <c r="E162" t="n">
        <v>3</v>
      </c>
      <c r="F162" t="n">
        <v>0</v>
      </c>
      <c r="G162">
        <f>E5197+F5197</f>
        <v/>
      </c>
    </row>
    <row r="163">
      <c r="A163" t="inlineStr">
        <is>
          <t>32912981</t>
        </is>
      </c>
      <c r="B163" t="inlineStr">
        <is>
          <t>PRODUCTO 99EEEF</t>
        </is>
      </c>
      <c r="C163" t="inlineStr">
        <is>
          <t>San Borja</t>
        </is>
      </c>
      <c r="D163" t="inlineStr">
        <is>
          <t>30/08/2026</t>
        </is>
      </c>
      <c r="E163" t="n">
        <v>3</v>
      </c>
      <c r="F163" t="n">
        <v>0</v>
      </c>
      <c r="G163">
        <f>E5198+F5198</f>
        <v/>
      </c>
    </row>
    <row r="164">
      <c r="A164" t="inlineStr">
        <is>
          <t>32912981</t>
        </is>
      </c>
      <c r="B164" t="inlineStr">
        <is>
          <t>PRODUCTO 99EEEF</t>
        </is>
      </c>
      <c r="C164" t="inlineStr">
        <is>
          <t>Piura</t>
        </is>
      </c>
      <c r="D164" t="inlineStr">
        <is>
          <t>30/08/2026</t>
        </is>
      </c>
      <c r="E164" t="n">
        <v>9</v>
      </c>
      <c r="F164" t="n">
        <v>0</v>
      </c>
      <c r="G164">
        <f>E5201+F5201</f>
        <v/>
      </c>
    </row>
    <row r="165">
      <c r="A165" t="inlineStr">
        <is>
          <t>32912996</t>
        </is>
      </c>
      <c r="B165" t="inlineStr">
        <is>
          <t>PRODUCTO AAF574</t>
        </is>
      </c>
      <c r="C165" t="inlineStr">
        <is>
          <t>Jockey Plaza</t>
        </is>
      </c>
      <c r="D165" t="inlineStr">
        <is>
          <t>30/08/2026</t>
        </is>
      </c>
      <c r="E165" t="n">
        <v>8</v>
      </c>
      <c r="F165" t="n">
        <v>0</v>
      </c>
      <c r="G165">
        <f>E5239+F5239</f>
        <v/>
      </c>
    </row>
    <row r="166">
      <c r="A166" t="inlineStr">
        <is>
          <t>32912996</t>
        </is>
      </c>
      <c r="B166" t="inlineStr">
        <is>
          <t>PRODUCTO AAF574</t>
        </is>
      </c>
      <c r="C166" t="inlineStr">
        <is>
          <t>San Miguel</t>
        </is>
      </c>
      <c r="D166" t="inlineStr">
        <is>
          <t>30/08/2026</t>
        </is>
      </c>
      <c r="E166" t="n">
        <v>3</v>
      </c>
      <c r="F166" t="n">
        <v>0</v>
      </c>
      <c r="G166">
        <f>E5240+F5240</f>
        <v/>
      </c>
    </row>
    <row r="167">
      <c r="A167" t="inlineStr">
        <is>
          <t>32912996</t>
        </is>
      </c>
      <c r="B167" t="inlineStr">
        <is>
          <t>PRODUCTO AAF574</t>
        </is>
      </c>
      <c r="C167" t="inlineStr">
        <is>
          <t>Miraflores</t>
        </is>
      </c>
      <c r="D167" t="inlineStr">
        <is>
          <t>30/08/2026</t>
        </is>
      </c>
      <c r="E167" t="n">
        <v>7</v>
      </c>
      <c r="F167" t="n">
        <v>0</v>
      </c>
      <c r="G167">
        <f>E5241+F5241</f>
        <v/>
      </c>
    </row>
    <row r="168">
      <c r="A168" t="inlineStr">
        <is>
          <t>32912996</t>
        </is>
      </c>
      <c r="B168" t="inlineStr">
        <is>
          <t>PRODUCTO AAF574</t>
        </is>
      </c>
      <c r="C168" t="inlineStr">
        <is>
          <t>Salaverry</t>
        </is>
      </c>
      <c r="D168" t="inlineStr">
        <is>
          <t>30/08/2026</t>
        </is>
      </c>
      <c r="E168" t="n">
        <v>21</v>
      </c>
      <c r="F168" t="n">
        <v>0</v>
      </c>
      <c r="G168">
        <f>E5249+F5249</f>
        <v/>
      </c>
    </row>
    <row r="169">
      <c r="A169" t="inlineStr">
        <is>
          <t>32912996</t>
        </is>
      </c>
      <c r="B169" t="inlineStr">
        <is>
          <t>PRODUCTO AAF574</t>
        </is>
      </c>
      <c r="C169" t="inlineStr">
        <is>
          <t>San Borja</t>
        </is>
      </c>
      <c r="D169" t="inlineStr">
        <is>
          <t>30/08/2026</t>
        </is>
      </c>
      <c r="E169" t="n">
        <v>10</v>
      </c>
      <c r="F169" t="n">
        <v>0</v>
      </c>
      <c r="G169">
        <f>E5250+F5250</f>
        <v/>
      </c>
    </row>
    <row r="170">
      <c r="A170" t="inlineStr">
        <is>
          <t>32912996</t>
        </is>
      </c>
      <c r="B170" t="inlineStr">
        <is>
          <t>PRODUCTO AAF574</t>
        </is>
      </c>
      <c r="C170" t="inlineStr">
        <is>
          <t>Piura</t>
        </is>
      </c>
      <c r="D170" t="inlineStr">
        <is>
          <t>30/08/2026</t>
        </is>
      </c>
      <c r="E170" t="n">
        <v>16</v>
      </c>
      <c r="F170" t="n">
        <v>0</v>
      </c>
      <c r="G170">
        <f>E5252+F5252</f>
        <v/>
      </c>
    </row>
    <row r="171">
      <c r="A171" t="inlineStr">
        <is>
          <t>32913007</t>
        </is>
      </c>
      <c r="B171" t="inlineStr">
        <is>
          <t>PRODUCTO CADEEF</t>
        </is>
      </c>
      <c r="C171" t="inlineStr">
        <is>
          <t>Jockey Plaza</t>
        </is>
      </c>
      <c r="D171" t="inlineStr">
        <is>
          <t>30/08/2026</t>
        </is>
      </c>
      <c r="E171" t="n">
        <v>3</v>
      </c>
      <c r="F171" t="n">
        <v>0</v>
      </c>
      <c r="G171">
        <f>E5277+F5277</f>
        <v/>
      </c>
    </row>
    <row r="172">
      <c r="A172" t="inlineStr">
        <is>
          <t>32913007</t>
        </is>
      </c>
      <c r="B172" t="inlineStr">
        <is>
          <t>PRODUCTO CADEEF</t>
        </is>
      </c>
      <c r="C172" t="inlineStr">
        <is>
          <t>San Miguel</t>
        </is>
      </c>
      <c r="D172" t="inlineStr">
        <is>
          <t>30/08/2026</t>
        </is>
      </c>
      <c r="E172" t="n">
        <v>4</v>
      </c>
      <c r="F172" t="n">
        <v>0</v>
      </c>
      <c r="G172">
        <f>E5278+F5278</f>
        <v/>
      </c>
    </row>
    <row r="173">
      <c r="A173" t="inlineStr">
        <is>
          <t>32913007</t>
        </is>
      </c>
      <c r="B173" t="inlineStr">
        <is>
          <t>PRODUCTO CADEEF</t>
        </is>
      </c>
      <c r="C173" t="inlineStr">
        <is>
          <t>Miraflores</t>
        </is>
      </c>
      <c r="D173" t="inlineStr">
        <is>
          <t>30/08/2026</t>
        </is>
      </c>
      <c r="E173" t="n">
        <v>6</v>
      </c>
      <c r="F173" t="n">
        <v>0</v>
      </c>
      <c r="G173">
        <f>E5279+F5279</f>
        <v/>
      </c>
    </row>
    <row r="174">
      <c r="A174" t="inlineStr">
        <is>
          <t>32913007</t>
        </is>
      </c>
      <c r="B174" t="inlineStr">
        <is>
          <t>PRODUCTO CADEEF</t>
        </is>
      </c>
      <c r="C174" t="inlineStr">
        <is>
          <t>Salaverry</t>
        </is>
      </c>
      <c r="D174" t="inlineStr">
        <is>
          <t>30/08/2026</t>
        </is>
      </c>
      <c r="E174" t="n">
        <v>2</v>
      </c>
      <c r="F174" t="n">
        <v>0</v>
      </c>
      <c r="G174">
        <f>E5287+F5287</f>
        <v/>
      </c>
    </row>
    <row r="175">
      <c r="A175" t="inlineStr">
        <is>
          <t>32913007</t>
        </is>
      </c>
      <c r="B175" t="inlineStr">
        <is>
          <t>PRODUCTO CADEEF</t>
        </is>
      </c>
      <c r="C175" t="inlineStr">
        <is>
          <t>San Borja</t>
        </is>
      </c>
      <c r="D175" t="inlineStr">
        <is>
          <t>30/08/2026</t>
        </is>
      </c>
      <c r="E175" t="n">
        <v>5</v>
      </c>
      <c r="F175" t="n">
        <v>0</v>
      </c>
      <c r="G175">
        <f>E5288+F5288</f>
        <v/>
      </c>
    </row>
    <row r="176">
      <c r="A176" t="inlineStr">
        <is>
          <t>32913007</t>
        </is>
      </c>
      <c r="B176" t="inlineStr">
        <is>
          <t>PRODUCTO CADEEF</t>
        </is>
      </c>
      <c r="C176" t="inlineStr">
        <is>
          <t>Piura</t>
        </is>
      </c>
      <c r="D176" t="inlineStr">
        <is>
          <t>30/08/2026</t>
        </is>
      </c>
      <c r="E176" t="n">
        <v>5</v>
      </c>
      <c r="F176" t="n">
        <v>0</v>
      </c>
      <c r="G176">
        <f>E5290+F5290</f>
        <v/>
      </c>
    </row>
    <row r="177">
      <c r="A177" t="inlineStr">
        <is>
          <t>35730652</t>
        </is>
      </c>
      <c r="B177" t="inlineStr">
        <is>
          <t>PRODUCTO 88CC30</t>
        </is>
      </c>
      <c r="C177" t="inlineStr">
        <is>
          <t>Miraflores</t>
        </is>
      </c>
      <c r="D177" t="inlineStr">
        <is>
          <t>30/08/2026</t>
        </is>
      </c>
      <c r="E177" t="n">
        <v>-1</v>
      </c>
      <c r="F177" t="n">
        <v>0</v>
      </c>
      <c r="G177">
        <f>E5559+F5559</f>
        <v/>
      </c>
    </row>
    <row r="178">
      <c r="A178" t="inlineStr">
        <is>
          <t>35730658</t>
        </is>
      </c>
      <c r="B178" t="inlineStr">
        <is>
          <t>PRODUCTO 8EA7D1</t>
        </is>
      </c>
      <c r="C178" t="inlineStr">
        <is>
          <t>San Miguel</t>
        </is>
      </c>
      <c r="D178" t="inlineStr">
        <is>
          <t>30/08/2026</t>
        </is>
      </c>
      <c r="E178" t="n">
        <v>1</v>
      </c>
      <c r="F178" t="n">
        <v>0</v>
      </c>
      <c r="G178">
        <f>E5560+F5560</f>
        <v/>
      </c>
    </row>
    <row r="179">
      <c r="A179" t="inlineStr">
        <is>
          <t>35730658</t>
        </is>
      </c>
      <c r="B179" t="inlineStr">
        <is>
          <t>PRODUCTO 8EA7D1</t>
        </is>
      </c>
      <c r="C179" t="inlineStr">
        <is>
          <t>Miraflores</t>
        </is>
      </c>
      <c r="D179" t="inlineStr">
        <is>
          <t>30/08/2026</t>
        </is>
      </c>
      <c r="E179" t="n">
        <v>1</v>
      </c>
      <c r="F179" t="n">
        <v>0</v>
      </c>
      <c r="G179">
        <f>E5561+F5561</f>
        <v/>
      </c>
    </row>
    <row r="180">
      <c r="A180" t="inlineStr">
        <is>
          <t>35730658</t>
        </is>
      </c>
      <c r="B180" t="inlineStr">
        <is>
          <t>PRODUCTO 8EA7D1</t>
        </is>
      </c>
      <c r="C180" t="inlineStr">
        <is>
          <t>Salaverry</t>
        </is>
      </c>
      <c r="D180" t="inlineStr">
        <is>
          <t>30/08/2026</t>
        </is>
      </c>
      <c r="E180" t="n">
        <v>-1</v>
      </c>
      <c r="F180" t="n">
        <v>0</v>
      </c>
      <c r="G180">
        <f>E5563+F5563</f>
        <v/>
      </c>
    </row>
    <row r="181">
      <c r="A181" t="inlineStr">
        <is>
          <t>35730658</t>
        </is>
      </c>
      <c r="B181" t="inlineStr">
        <is>
          <t>PRODUCTO 8EA7D1</t>
        </is>
      </c>
      <c r="C181" t="inlineStr">
        <is>
          <t>San Borja</t>
        </is>
      </c>
      <c r="D181" t="inlineStr">
        <is>
          <t>30/08/2026</t>
        </is>
      </c>
      <c r="E181" t="n">
        <v>1</v>
      </c>
      <c r="F181" t="n">
        <v>0</v>
      </c>
      <c r="G181">
        <f>E5564+F5564</f>
        <v/>
      </c>
    </row>
    <row r="182">
      <c r="A182" t="inlineStr">
        <is>
          <t>35937998</t>
        </is>
      </c>
      <c r="B182" t="inlineStr">
        <is>
          <t>PRODUCTO 52839B</t>
        </is>
      </c>
      <c r="C182" t="inlineStr">
        <is>
          <t>San Miguel</t>
        </is>
      </c>
      <c r="D182" t="inlineStr">
        <is>
          <t>30/08/2026</t>
        </is>
      </c>
      <c r="E182" t="n">
        <v>1</v>
      </c>
      <c r="F182" t="n">
        <v>0</v>
      </c>
      <c r="G182">
        <f>E5598+F5598</f>
        <v/>
      </c>
    </row>
    <row r="183">
      <c r="A183" t="inlineStr">
        <is>
          <t>35937998</t>
        </is>
      </c>
      <c r="B183" t="inlineStr">
        <is>
          <t>PRODUCTO 52839B</t>
        </is>
      </c>
      <c r="C183" t="inlineStr">
        <is>
          <t>Miraflores</t>
        </is>
      </c>
      <c r="D183" t="inlineStr">
        <is>
          <t>30/08/2026</t>
        </is>
      </c>
      <c r="E183" t="n">
        <v>1</v>
      </c>
      <c r="F183" t="n">
        <v>0</v>
      </c>
      <c r="G183">
        <f>E5599+F5599</f>
        <v/>
      </c>
    </row>
    <row r="184">
      <c r="A184" t="inlineStr">
        <is>
          <t>36061195</t>
        </is>
      </c>
      <c r="B184" t="inlineStr">
        <is>
          <t>PRODUCTO E17A67</t>
        </is>
      </c>
      <c r="C184" t="inlineStr">
        <is>
          <t>Miraflores</t>
        </is>
      </c>
      <c r="D184" t="inlineStr">
        <is>
          <t>30/08/2026</t>
        </is>
      </c>
      <c r="E184" t="n">
        <v>1</v>
      </c>
      <c r="F184" t="n">
        <v>0</v>
      </c>
      <c r="G184">
        <f>E5653+F5653</f>
        <v/>
      </c>
    </row>
    <row r="185">
      <c r="A185" t="inlineStr">
        <is>
          <t>36061195</t>
        </is>
      </c>
      <c r="B185" t="inlineStr">
        <is>
          <t>PRODUCTO E17A67</t>
        </is>
      </c>
      <c r="C185" t="inlineStr">
        <is>
          <t>Salaverry</t>
        </is>
      </c>
      <c r="D185" t="inlineStr">
        <is>
          <t>30/08/2026</t>
        </is>
      </c>
      <c r="E185" t="n">
        <v>1</v>
      </c>
      <c r="F185" t="n">
        <v>0</v>
      </c>
      <c r="G185">
        <f>E5655+F5655</f>
        <v/>
      </c>
    </row>
    <row r="186">
      <c r="A186" t="inlineStr">
        <is>
          <t>36061195</t>
        </is>
      </c>
      <c r="B186" t="inlineStr">
        <is>
          <t>PRODUCTO E17A67</t>
        </is>
      </c>
      <c r="C186" t="inlineStr">
        <is>
          <t>San Borja</t>
        </is>
      </c>
      <c r="D186" t="inlineStr">
        <is>
          <t>30/08/2026</t>
        </is>
      </c>
      <c r="E186" t="n">
        <v>1</v>
      </c>
      <c r="F186" t="n">
        <v>0</v>
      </c>
      <c r="G186">
        <f>E5656+F5656</f>
        <v/>
      </c>
    </row>
    <row r="187">
      <c r="A187" t="inlineStr">
        <is>
          <t>36206622</t>
        </is>
      </c>
      <c r="B187" t="inlineStr">
        <is>
          <t>PRODUCTO 21B794</t>
        </is>
      </c>
      <c r="C187" t="inlineStr">
        <is>
          <t>Piura</t>
        </is>
      </c>
      <c r="D187" t="inlineStr">
        <is>
          <t>30/08/2026</t>
        </is>
      </c>
      <c r="E187" t="n">
        <v>37</v>
      </c>
      <c r="F187" t="n">
        <v>0</v>
      </c>
      <c r="G187">
        <f>E5738+F5738</f>
        <v/>
      </c>
    </row>
    <row r="188">
      <c r="A188" t="inlineStr">
        <is>
          <t>36206674</t>
        </is>
      </c>
      <c r="B188" t="inlineStr">
        <is>
          <t>PRODUCTO 87B612</t>
        </is>
      </c>
      <c r="C188" t="inlineStr">
        <is>
          <t>San Borja</t>
        </is>
      </c>
      <c r="D188" t="inlineStr">
        <is>
          <t>30/08/2026</t>
        </is>
      </c>
      <c r="E188" t="n">
        <v>2</v>
      </c>
      <c r="F188" t="n">
        <v>0</v>
      </c>
      <c r="G188">
        <f>E5745+F5745</f>
        <v/>
      </c>
    </row>
    <row r="189">
      <c r="A189" t="inlineStr">
        <is>
          <t>36206674</t>
        </is>
      </c>
      <c r="B189" t="inlineStr">
        <is>
          <t>PRODUCTO 87B612</t>
        </is>
      </c>
      <c r="C189" t="inlineStr">
        <is>
          <t>Piura</t>
        </is>
      </c>
      <c r="D189" t="inlineStr">
        <is>
          <t>30/08/2026</t>
        </is>
      </c>
      <c r="E189" t="n">
        <v>28</v>
      </c>
      <c r="F189" t="n">
        <v>0</v>
      </c>
      <c r="G189">
        <f>E5746+F5746</f>
        <v/>
      </c>
    </row>
    <row r="190">
      <c r="A190" t="inlineStr">
        <is>
          <t>36206695</t>
        </is>
      </c>
      <c r="B190" t="inlineStr">
        <is>
          <t>PRODUCTO 4CAA88</t>
        </is>
      </c>
      <c r="C190" t="inlineStr">
        <is>
          <t>Miraflores</t>
        </is>
      </c>
      <c r="D190" t="inlineStr">
        <is>
          <t>30/08/2026</t>
        </is>
      </c>
      <c r="E190" t="n">
        <v>0</v>
      </c>
      <c r="F190" t="n">
        <v>1</v>
      </c>
      <c r="G190">
        <f>E5747+F5747</f>
        <v/>
      </c>
    </row>
    <row r="191">
      <c r="A191" t="inlineStr">
        <is>
          <t>36206695</t>
        </is>
      </c>
      <c r="B191" t="inlineStr">
        <is>
          <t>PRODUCTO 4CAA88</t>
        </is>
      </c>
      <c r="C191" t="inlineStr">
        <is>
          <t>San Borja</t>
        </is>
      </c>
      <c r="D191" t="inlineStr">
        <is>
          <t>30/08/2026</t>
        </is>
      </c>
      <c r="E191" t="n">
        <v>1</v>
      </c>
      <c r="F191" t="n">
        <v>0</v>
      </c>
      <c r="G191">
        <f>E5750+F5750</f>
        <v/>
      </c>
    </row>
    <row r="192">
      <c r="A192" t="inlineStr">
        <is>
          <t>36206695</t>
        </is>
      </c>
      <c r="B192" t="inlineStr">
        <is>
          <t>PRODUCTO 4CAA88</t>
        </is>
      </c>
      <c r="C192" t="inlineStr">
        <is>
          <t>Piura</t>
        </is>
      </c>
      <c r="D192" t="inlineStr">
        <is>
          <t>30/08/2026</t>
        </is>
      </c>
      <c r="E192" t="n">
        <v>8</v>
      </c>
      <c r="F192" t="n">
        <v>0</v>
      </c>
      <c r="G192">
        <f>E5751+F5751</f>
        <v/>
      </c>
    </row>
    <row r="193">
      <c r="A193" t="inlineStr">
        <is>
          <t>36312835</t>
        </is>
      </c>
      <c r="B193" t="inlineStr">
        <is>
          <t>PRODUCTO EE8078</t>
        </is>
      </c>
      <c r="C193" t="inlineStr">
        <is>
          <t>Piura</t>
        </is>
      </c>
      <c r="D193" t="inlineStr">
        <is>
          <t>30/08/2026</t>
        </is>
      </c>
      <c r="E193" t="n">
        <v>12</v>
      </c>
      <c r="F193" t="n">
        <v>0</v>
      </c>
      <c r="G193">
        <f>E5892+F5892</f>
        <v/>
      </c>
    </row>
    <row r="194">
      <c r="A194" t="inlineStr">
        <is>
          <t>36313892</t>
        </is>
      </c>
      <c r="B194" t="inlineStr">
        <is>
          <t>PRODUCTO 274F10</t>
        </is>
      </c>
      <c r="C194" t="inlineStr">
        <is>
          <t>Salaverry</t>
        </is>
      </c>
      <c r="D194" t="inlineStr">
        <is>
          <t>30/08/2026</t>
        </is>
      </c>
      <c r="E194" t="n">
        <v>1</v>
      </c>
      <c r="F194" t="n">
        <v>0</v>
      </c>
      <c r="G194">
        <f>E5911+F5911</f>
        <v/>
      </c>
    </row>
    <row r="195">
      <c r="A195" t="inlineStr">
        <is>
          <t>36313892</t>
        </is>
      </c>
      <c r="B195" t="inlineStr">
        <is>
          <t>PRODUCTO 274F10</t>
        </is>
      </c>
      <c r="C195" t="inlineStr">
        <is>
          <t>San Borja</t>
        </is>
      </c>
      <c r="D195" t="inlineStr">
        <is>
          <t>30/08/2026</t>
        </is>
      </c>
      <c r="E195" t="n">
        <v>1</v>
      </c>
      <c r="F195" t="n">
        <v>0</v>
      </c>
      <c r="G195">
        <f>E5912+F5912</f>
        <v/>
      </c>
    </row>
    <row r="196">
      <c r="A196" t="inlineStr">
        <is>
          <t>36313892</t>
        </is>
      </c>
      <c r="B196" t="inlineStr">
        <is>
          <t>PRODUCTO 274F10</t>
        </is>
      </c>
      <c r="C196" t="inlineStr">
        <is>
          <t>Piura</t>
        </is>
      </c>
      <c r="D196" t="inlineStr">
        <is>
          <t>30/08/2026</t>
        </is>
      </c>
      <c r="E196" t="n">
        <v>2</v>
      </c>
      <c r="F196" t="n">
        <v>0</v>
      </c>
      <c r="G196">
        <f>E5913+F5913</f>
        <v/>
      </c>
    </row>
    <row r="197">
      <c r="A197" t="inlineStr">
        <is>
          <t>36315468</t>
        </is>
      </c>
      <c r="B197" t="inlineStr">
        <is>
          <t>PRODUCTO 6930DE</t>
        </is>
      </c>
      <c r="C197" t="inlineStr">
        <is>
          <t>Piura</t>
        </is>
      </c>
      <c r="D197" t="inlineStr">
        <is>
          <t>30/08/2026</t>
        </is>
      </c>
      <c r="E197" t="n">
        <v>3</v>
      </c>
      <c r="F197" t="n">
        <v>0</v>
      </c>
      <c r="G197">
        <f>E5927+F5927</f>
        <v/>
      </c>
    </row>
    <row r="198">
      <c r="A198" t="inlineStr">
        <is>
          <t>36327969</t>
        </is>
      </c>
      <c r="B198" t="inlineStr">
        <is>
          <t>PRODUCTO 1E50F0</t>
        </is>
      </c>
      <c r="C198" t="inlineStr">
        <is>
          <t>Jockey Plaza</t>
        </is>
      </c>
      <c r="D198" t="inlineStr">
        <is>
          <t>30/08/2026</t>
        </is>
      </c>
      <c r="E198" t="n">
        <v>17</v>
      </c>
      <c r="F198" t="n">
        <v>0</v>
      </c>
      <c r="G198">
        <f>E5940+F5940</f>
        <v/>
      </c>
    </row>
    <row r="199">
      <c r="A199" t="inlineStr">
        <is>
          <t>36327969</t>
        </is>
      </c>
      <c r="B199" t="inlineStr">
        <is>
          <t>PRODUCTO 1E50F0</t>
        </is>
      </c>
      <c r="C199" t="inlineStr">
        <is>
          <t>San Miguel</t>
        </is>
      </c>
      <c r="D199" t="inlineStr">
        <is>
          <t>30/08/2026</t>
        </is>
      </c>
      <c r="E199" t="n">
        <v>9</v>
      </c>
      <c r="F199" t="n">
        <v>0</v>
      </c>
      <c r="G199">
        <f>E5941+F5941</f>
        <v/>
      </c>
    </row>
    <row r="200">
      <c r="A200" t="inlineStr">
        <is>
          <t>36327969</t>
        </is>
      </c>
      <c r="B200" t="inlineStr">
        <is>
          <t>PRODUCTO 1E50F0</t>
        </is>
      </c>
      <c r="C200" t="inlineStr">
        <is>
          <t>Miraflores</t>
        </is>
      </c>
      <c r="D200" t="inlineStr">
        <is>
          <t>30/08/2026</t>
        </is>
      </c>
      <c r="E200" t="n">
        <v>13</v>
      </c>
      <c r="F200" t="n">
        <v>0</v>
      </c>
      <c r="G200">
        <f>E5942+F5942</f>
        <v/>
      </c>
    </row>
    <row r="201">
      <c r="A201" t="inlineStr">
        <is>
          <t>36327969</t>
        </is>
      </c>
      <c r="B201" t="inlineStr">
        <is>
          <t>PRODUCTO 1E50F0</t>
        </is>
      </c>
      <c r="C201" t="inlineStr">
        <is>
          <t>Salaverry</t>
        </is>
      </c>
      <c r="D201" t="inlineStr">
        <is>
          <t>30/08/2026</t>
        </is>
      </c>
      <c r="E201" t="n">
        <v>21</v>
      </c>
      <c r="F201" t="n">
        <v>0</v>
      </c>
      <c r="G201">
        <f>E5944+F5944</f>
        <v/>
      </c>
    </row>
    <row r="202">
      <c r="A202" t="inlineStr">
        <is>
          <t>36327969</t>
        </is>
      </c>
      <c r="B202" t="inlineStr">
        <is>
          <t>PRODUCTO 1E50F0</t>
        </is>
      </c>
      <c r="C202" t="inlineStr">
        <is>
          <t>San Borja</t>
        </is>
      </c>
      <c r="D202" t="inlineStr">
        <is>
          <t>30/08/2026</t>
        </is>
      </c>
      <c r="E202" t="n">
        <v>13</v>
      </c>
      <c r="F202" t="n">
        <v>0</v>
      </c>
      <c r="G202">
        <f>E5945+F5945</f>
        <v/>
      </c>
    </row>
    <row r="203">
      <c r="A203" t="inlineStr">
        <is>
          <t>36346263</t>
        </is>
      </c>
      <c r="B203" t="inlineStr">
        <is>
          <t>PRODUCTO FE136B</t>
        </is>
      </c>
      <c r="C203" t="inlineStr">
        <is>
          <t>Jockey Plaza</t>
        </is>
      </c>
      <c r="D203" t="inlineStr">
        <is>
          <t>30/08/2026</t>
        </is>
      </c>
      <c r="E203" t="n">
        <v>1</v>
      </c>
      <c r="F203" t="n">
        <v>0</v>
      </c>
      <c r="G203">
        <f>E5983+F5983</f>
        <v/>
      </c>
    </row>
    <row r="204">
      <c r="A204" t="inlineStr">
        <is>
          <t>36346263</t>
        </is>
      </c>
      <c r="B204" t="inlineStr">
        <is>
          <t>PRODUCTO FE136B</t>
        </is>
      </c>
      <c r="C204" t="inlineStr">
        <is>
          <t>San Borja</t>
        </is>
      </c>
      <c r="D204" t="inlineStr">
        <is>
          <t>30/08/2026</t>
        </is>
      </c>
      <c r="E204" t="n">
        <v>5</v>
      </c>
      <c r="F204" t="n">
        <v>0</v>
      </c>
      <c r="G204">
        <f>E5986+F5986</f>
        <v/>
      </c>
    </row>
    <row r="205">
      <c r="A205" t="inlineStr">
        <is>
          <t>36346315</t>
        </is>
      </c>
      <c r="B205" t="inlineStr">
        <is>
          <t>PRODUCTO F4C53C</t>
        </is>
      </c>
      <c r="C205" t="inlineStr">
        <is>
          <t>Jockey Plaza</t>
        </is>
      </c>
      <c r="D205" t="inlineStr">
        <is>
          <t>30/08/2026</t>
        </is>
      </c>
      <c r="E205" t="n">
        <v>1</v>
      </c>
      <c r="F205" t="n">
        <v>0</v>
      </c>
      <c r="G205">
        <f>E6027+F6027</f>
        <v/>
      </c>
    </row>
    <row r="206">
      <c r="A206" t="inlineStr">
        <is>
          <t>36346315</t>
        </is>
      </c>
      <c r="B206" t="inlineStr">
        <is>
          <t>PRODUCTO F4C53C</t>
        </is>
      </c>
      <c r="C206" t="inlineStr">
        <is>
          <t>Miraflores</t>
        </is>
      </c>
      <c r="D206" t="inlineStr">
        <is>
          <t>30/08/2026</t>
        </is>
      </c>
      <c r="E206" t="n">
        <v>3</v>
      </c>
      <c r="F206" t="n">
        <v>0</v>
      </c>
      <c r="G206">
        <f>E6028+F6028</f>
        <v/>
      </c>
    </row>
    <row r="207">
      <c r="A207" t="inlineStr">
        <is>
          <t>36349619</t>
        </is>
      </c>
      <c r="B207" t="inlineStr">
        <is>
          <t>PRODUCTO 99A0E6</t>
        </is>
      </c>
      <c r="C207" t="inlineStr">
        <is>
          <t>Jockey Plaza</t>
        </is>
      </c>
      <c r="D207" t="inlineStr">
        <is>
          <t>30/08/2026</t>
        </is>
      </c>
      <c r="E207" t="n">
        <v>2</v>
      </c>
      <c r="F207" t="n">
        <v>0</v>
      </c>
      <c r="G207">
        <f>E6058+F6058</f>
        <v/>
      </c>
    </row>
    <row r="208">
      <c r="A208" t="inlineStr">
        <is>
          <t>36349619</t>
        </is>
      </c>
      <c r="B208" t="inlineStr">
        <is>
          <t>PRODUCTO 99A0E6</t>
        </is>
      </c>
      <c r="C208" t="inlineStr">
        <is>
          <t>Miraflores</t>
        </is>
      </c>
      <c r="D208" t="inlineStr">
        <is>
          <t>30/08/2026</t>
        </is>
      </c>
      <c r="E208" t="n">
        <v>1</v>
      </c>
      <c r="F208" t="n">
        <v>0</v>
      </c>
      <c r="G208">
        <f>E6059+F6059</f>
        <v/>
      </c>
    </row>
    <row r="209">
      <c r="A209" t="inlineStr">
        <is>
          <t>36349619</t>
        </is>
      </c>
      <c r="B209" t="inlineStr">
        <is>
          <t>PRODUCTO 99A0E6</t>
        </is>
      </c>
      <c r="C209" t="inlineStr">
        <is>
          <t>Salaverry</t>
        </is>
      </c>
      <c r="D209" t="inlineStr">
        <is>
          <t>30/08/2026</t>
        </is>
      </c>
      <c r="E209" t="n">
        <v>1</v>
      </c>
      <c r="F209" t="n">
        <v>0</v>
      </c>
      <c r="G209">
        <f>E6065+F6065</f>
        <v/>
      </c>
    </row>
    <row r="210">
      <c r="A210" t="inlineStr">
        <is>
          <t>36349619</t>
        </is>
      </c>
      <c r="B210" t="inlineStr">
        <is>
          <t>PRODUCTO 99A0E6</t>
        </is>
      </c>
      <c r="C210" t="inlineStr">
        <is>
          <t>San Borja</t>
        </is>
      </c>
      <c r="D210" t="inlineStr">
        <is>
          <t>30/08/2026</t>
        </is>
      </c>
      <c r="E210" t="n">
        <v>3</v>
      </c>
      <c r="F210" t="n">
        <v>0</v>
      </c>
      <c r="G210">
        <f>E6066+F6066</f>
        <v/>
      </c>
    </row>
    <row r="211">
      <c r="A211" t="inlineStr">
        <is>
          <t>36349619</t>
        </is>
      </c>
      <c r="B211" t="inlineStr">
        <is>
          <t>PRODUCTO 99A0E6</t>
        </is>
      </c>
      <c r="C211" t="inlineStr">
        <is>
          <t>Piura</t>
        </is>
      </c>
      <c r="D211" t="inlineStr">
        <is>
          <t>30/08/2026</t>
        </is>
      </c>
      <c r="E211" t="n">
        <v>1</v>
      </c>
      <c r="F211" t="n">
        <v>0</v>
      </c>
      <c r="G211">
        <f>E6068+F6068</f>
        <v/>
      </c>
    </row>
    <row r="212">
      <c r="A212" t="inlineStr">
        <is>
          <t>36446423</t>
        </is>
      </c>
      <c r="B212" t="inlineStr">
        <is>
          <t>PRODUCTO E08DDE</t>
        </is>
      </c>
      <c r="C212" t="inlineStr">
        <is>
          <t>Piura</t>
        </is>
      </c>
      <c r="D212" t="inlineStr">
        <is>
          <t>30/08/2026</t>
        </is>
      </c>
      <c r="E212" t="n">
        <v>1</v>
      </c>
      <c r="F212" t="n">
        <v>0</v>
      </c>
      <c r="G212">
        <f>E6149+F6149</f>
        <v/>
      </c>
    </row>
    <row r="213">
      <c r="A213" t="inlineStr">
        <is>
          <t>36473367</t>
        </is>
      </c>
      <c r="B213" t="inlineStr">
        <is>
          <t>PRODUCTO 36C8CE</t>
        </is>
      </c>
      <c r="C213" t="inlineStr">
        <is>
          <t>Jockey Plaza</t>
        </is>
      </c>
      <c r="D213" t="inlineStr">
        <is>
          <t>30/08/2026</t>
        </is>
      </c>
      <c r="E213" t="n">
        <v>8</v>
      </c>
      <c r="F213" t="n">
        <v>0</v>
      </c>
      <c r="G213">
        <f>E6163+F6163</f>
        <v/>
      </c>
    </row>
    <row r="214">
      <c r="A214" t="inlineStr">
        <is>
          <t>36473367</t>
        </is>
      </c>
      <c r="B214" t="inlineStr">
        <is>
          <t>PRODUCTO 36C8CE</t>
        </is>
      </c>
      <c r="C214" t="inlineStr">
        <is>
          <t>San Borja</t>
        </is>
      </c>
      <c r="D214" t="inlineStr">
        <is>
          <t>30/08/2026</t>
        </is>
      </c>
      <c r="E214" t="n">
        <v>10</v>
      </c>
      <c r="F214" t="n">
        <v>0</v>
      </c>
      <c r="G214">
        <f>E6172+F6172</f>
        <v/>
      </c>
    </row>
    <row r="215">
      <c r="A215" t="inlineStr">
        <is>
          <t>36473367</t>
        </is>
      </c>
      <c r="B215" t="inlineStr">
        <is>
          <t>PRODUCTO 36C8CE</t>
        </is>
      </c>
      <c r="C215" t="inlineStr">
        <is>
          <t>Piura</t>
        </is>
      </c>
      <c r="D215" t="inlineStr">
        <is>
          <t>30/08/2026</t>
        </is>
      </c>
      <c r="E215" t="n">
        <v>5</v>
      </c>
      <c r="F215" t="n">
        <v>0</v>
      </c>
      <c r="G215">
        <f>E6174+F6174</f>
        <v/>
      </c>
    </row>
    <row r="216">
      <c r="A216" t="inlineStr">
        <is>
          <t>36473438</t>
        </is>
      </c>
      <c r="B216" t="inlineStr">
        <is>
          <t>PRODUCTO D58C50</t>
        </is>
      </c>
      <c r="C216" t="inlineStr">
        <is>
          <t>Jockey Plaza</t>
        </is>
      </c>
      <c r="D216" t="inlineStr">
        <is>
          <t>30/08/2026</t>
        </is>
      </c>
      <c r="E216" t="n">
        <v>1</v>
      </c>
      <c r="F216" t="n">
        <v>0</v>
      </c>
      <c r="G216">
        <f>E6197+F6197</f>
        <v/>
      </c>
    </row>
    <row r="217">
      <c r="A217" t="inlineStr">
        <is>
          <t>36473438</t>
        </is>
      </c>
      <c r="B217" t="inlineStr">
        <is>
          <t>PRODUCTO D58C50</t>
        </is>
      </c>
      <c r="C217" t="inlineStr">
        <is>
          <t>Miraflores</t>
        </is>
      </c>
      <c r="D217" t="inlineStr">
        <is>
          <t>30/08/2026</t>
        </is>
      </c>
      <c r="E217" t="n">
        <v>4</v>
      </c>
      <c r="F217" t="n">
        <v>0</v>
      </c>
      <c r="G217">
        <f>E6198+F6198</f>
        <v/>
      </c>
    </row>
    <row r="218">
      <c r="A218" t="inlineStr">
        <is>
          <t>36473438</t>
        </is>
      </c>
      <c r="B218" t="inlineStr">
        <is>
          <t>PRODUCTO D58C50</t>
        </is>
      </c>
      <c r="C218" t="inlineStr">
        <is>
          <t>Piura</t>
        </is>
      </c>
      <c r="D218" t="inlineStr">
        <is>
          <t>30/08/2026</t>
        </is>
      </c>
      <c r="E218" t="n">
        <v>3</v>
      </c>
      <c r="F218" t="n">
        <v>0</v>
      </c>
      <c r="G218">
        <f>E6209+F6209</f>
        <v/>
      </c>
    </row>
    <row r="219">
      <c r="A219" t="inlineStr">
        <is>
          <t>36493202</t>
        </is>
      </c>
      <c r="B219" t="inlineStr">
        <is>
          <t>PRODUCTO 542CDB</t>
        </is>
      </c>
      <c r="C219" t="inlineStr">
        <is>
          <t>Salaverry</t>
        </is>
      </c>
      <c r="D219" t="inlineStr">
        <is>
          <t>30/08/2026</t>
        </is>
      </c>
      <c r="E219" t="n">
        <v>2</v>
      </c>
      <c r="F219" t="n">
        <v>0</v>
      </c>
      <c r="G219">
        <f>E6438+F6438</f>
        <v/>
      </c>
    </row>
    <row r="220">
      <c r="A220" t="inlineStr">
        <is>
          <t>36493202</t>
        </is>
      </c>
      <c r="B220" t="inlineStr">
        <is>
          <t>PRODUCTO 542CDB</t>
        </is>
      </c>
      <c r="C220" t="inlineStr">
        <is>
          <t>San Borja</t>
        </is>
      </c>
      <c r="D220" t="inlineStr">
        <is>
          <t>30/08/2026</t>
        </is>
      </c>
      <c r="E220" t="n">
        <v>1</v>
      </c>
      <c r="F220" t="n">
        <v>0</v>
      </c>
      <c r="G220">
        <f>E6439+F6439</f>
        <v/>
      </c>
    </row>
    <row r="221">
      <c r="A221" t="inlineStr">
        <is>
          <t>36493202</t>
        </is>
      </c>
      <c r="B221" t="inlineStr">
        <is>
          <t>PRODUCTO 542CDB</t>
        </is>
      </c>
      <c r="C221" t="inlineStr">
        <is>
          <t>Piura</t>
        </is>
      </c>
      <c r="D221" t="inlineStr">
        <is>
          <t>30/08/2026</t>
        </is>
      </c>
      <c r="E221" t="n">
        <v>3</v>
      </c>
      <c r="F221" t="n">
        <v>0</v>
      </c>
      <c r="G221">
        <f>E6441+F6441</f>
        <v/>
      </c>
    </row>
    <row r="222">
      <c r="A222" t="inlineStr">
        <is>
          <t>36493242</t>
        </is>
      </c>
      <c r="B222" t="inlineStr">
        <is>
          <t>PRODUCTO 093757</t>
        </is>
      </c>
      <c r="C222" t="inlineStr">
        <is>
          <t>San Miguel</t>
        </is>
      </c>
      <c r="D222" t="inlineStr">
        <is>
          <t>30/08/2026</t>
        </is>
      </c>
      <c r="E222" t="n">
        <v>1</v>
      </c>
      <c r="F222" t="n">
        <v>0</v>
      </c>
      <c r="G222">
        <f>E6503+F6503</f>
        <v/>
      </c>
    </row>
    <row r="223">
      <c r="A223" t="inlineStr">
        <is>
          <t>36493242</t>
        </is>
      </c>
      <c r="B223" t="inlineStr">
        <is>
          <t>PRODUCTO 093757</t>
        </is>
      </c>
      <c r="C223" t="inlineStr">
        <is>
          <t>Miraflores</t>
        </is>
      </c>
      <c r="D223" t="inlineStr">
        <is>
          <t>30/08/2026</t>
        </is>
      </c>
      <c r="E223" t="n">
        <v>2</v>
      </c>
      <c r="F223" t="n">
        <v>0</v>
      </c>
      <c r="G223">
        <f>E6504+F6504</f>
        <v/>
      </c>
    </row>
    <row r="224">
      <c r="A224" t="inlineStr">
        <is>
          <t>36493242</t>
        </is>
      </c>
      <c r="B224" t="inlineStr">
        <is>
          <t>PRODUCTO 093757</t>
        </is>
      </c>
      <c r="C224" t="inlineStr">
        <is>
          <t>Salaverry</t>
        </is>
      </c>
      <c r="D224" t="inlineStr">
        <is>
          <t>30/08/2026</t>
        </is>
      </c>
      <c r="E224" t="n">
        <v>4</v>
      </c>
      <c r="F224" t="n">
        <v>0</v>
      </c>
      <c r="G224">
        <f>E6510+F6510</f>
        <v/>
      </c>
    </row>
    <row r="225">
      <c r="A225" t="inlineStr">
        <is>
          <t>36493242</t>
        </is>
      </c>
      <c r="B225" t="inlineStr">
        <is>
          <t>PRODUCTO 093757</t>
        </is>
      </c>
      <c r="C225" t="inlineStr">
        <is>
          <t>San Borja</t>
        </is>
      </c>
      <c r="D225" t="inlineStr">
        <is>
          <t>30/08/2026</t>
        </is>
      </c>
      <c r="E225" t="n">
        <v>4</v>
      </c>
      <c r="F225" t="n">
        <v>0</v>
      </c>
      <c r="G225">
        <f>E6511+F6511</f>
        <v/>
      </c>
    </row>
    <row r="226">
      <c r="A226" t="inlineStr">
        <is>
          <t>36493242</t>
        </is>
      </c>
      <c r="B226" t="inlineStr">
        <is>
          <t>PRODUCTO 093757</t>
        </is>
      </c>
      <c r="C226" t="inlineStr">
        <is>
          <t>Piura</t>
        </is>
      </c>
      <c r="D226" t="inlineStr">
        <is>
          <t>30/08/2026</t>
        </is>
      </c>
      <c r="E226" t="n">
        <v>2</v>
      </c>
      <c r="F226" t="n">
        <v>0</v>
      </c>
      <c r="G226">
        <f>E6513+F6513</f>
        <v/>
      </c>
    </row>
    <row r="227">
      <c r="A227" t="inlineStr">
        <is>
          <t>36493247</t>
        </is>
      </c>
      <c r="B227" t="inlineStr">
        <is>
          <t>PRODUCTO FEE445</t>
        </is>
      </c>
      <c r="C227" t="inlineStr">
        <is>
          <t>Jockey Plaza</t>
        </is>
      </c>
      <c r="D227" t="inlineStr">
        <is>
          <t>30/08/2026</t>
        </is>
      </c>
      <c r="E227" t="n">
        <v>5</v>
      </c>
      <c r="F227" t="n">
        <v>0</v>
      </c>
      <c r="G227">
        <f>E6518+F6518</f>
        <v/>
      </c>
    </row>
    <row r="228">
      <c r="A228" t="inlineStr">
        <is>
          <t>36493247</t>
        </is>
      </c>
      <c r="B228" t="inlineStr">
        <is>
          <t>PRODUCTO FEE445</t>
        </is>
      </c>
      <c r="C228" t="inlineStr">
        <is>
          <t>San Miguel</t>
        </is>
      </c>
      <c r="D228" t="inlineStr">
        <is>
          <t>30/08/2026</t>
        </is>
      </c>
      <c r="E228" t="n">
        <v>7</v>
      </c>
      <c r="F228" t="n">
        <v>0</v>
      </c>
      <c r="G228">
        <f>E6519+F6519</f>
        <v/>
      </c>
    </row>
    <row r="229">
      <c r="A229" t="inlineStr">
        <is>
          <t>36493247</t>
        </is>
      </c>
      <c r="B229" t="inlineStr">
        <is>
          <t>PRODUCTO FEE445</t>
        </is>
      </c>
      <c r="C229" t="inlineStr">
        <is>
          <t>Miraflores</t>
        </is>
      </c>
      <c r="D229" t="inlineStr">
        <is>
          <t>30/08/2026</t>
        </is>
      </c>
      <c r="E229" t="n">
        <v>11</v>
      </c>
      <c r="F229" t="n">
        <v>0</v>
      </c>
      <c r="G229">
        <f>E6520+F6520</f>
        <v/>
      </c>
    </row>
    <row r="230">
      <c r="A230" t="inlineStr">
        <is>
          <t>36493247</t>
        </is>
      </c>
      <c r="B230" t="inlineStr">
        <is>
          <t>PRODUCTO FEE445</t>
        </is>
      </c>
      <c r="C230" t="inlineStr">
        <is>
          <t>Salaverry</t>
        </is>
      </c>
      <c r="D230" t="inlineStr">
        <is>
          <t>30/08/2026</t>
        </is>
      </c>
      <c r="E230" t="n">
        <v>8</v>
      </c>
      <c r="F230" t="n">
        <v>0</v>
      </c>
      <c r="G230">
        <f>E6527+F6527</f>
        <v/>
      </c>
    </row>
    <row r="231">
      <c r="A231" t="inlineStr">
        <is>
          <t>36493247</t>
        </is>
      </c>
      <c r="B231" t="inlineStr">
        <is>
          <t>PRODUCTO FEE445</t>
        </is>
      </c>
      <c r="C231" t="inlineStr">
        <is>
          <t>San Borja</t>
        </is>
      </c>
      <c r="D231" t="inlineStr">
        <is>
          <t>30/08/2026</t>
        </is>
      </c>
      <c r="E231" t="n">
        <v>11</v>
      </c>
      <c r="F231" t="n">
        <v>0</v>
      </c>
      <c r="G231">
        <f>E6528+F6528</f>
        <v/>
      </c>
    </row>
    <row r="232">
      <c r="A232" t="inlineStr">
        <is>
          <t>36493247</t>
        </is>
      </c>
      <c r="B232" t="inlineStr">
        <is>
          <t>PRODUCTO FEE445</t>
        </is>
      </c>
      <c r="C232" t="inlineStr">
        <is>
          <t>Piura</t>
        </is>
      </c>
      <c r="D232" t="inlineStr">
        <is>
          <t>30/08/2026</t>
        </is>
      </c>
      <c r="E232" t="n">
        <v>13</v>
      </c>
      <c r="F232" t="n">
        <v>0</v>
      </c>
      <c r="G232">
        <f>E6530+F6530</f>
        <v/>
      </c>
    </row>
    <row r="233">
      <c r="A233" t="inlineStr">
        <is>
          <t>36494866</t>
        </is>
      </c>
      <c r="B233" t="inlineStr">
        <is>
          <t>PRODUCTO 398FBF</t>
        </is>
      </c>
      <c r="C233" t="inlineStr">
        <is>
          <t>Jockey Plaza</t>
        </is>
      </c>
      <c r="D233" t="inlineStr">
        <is>
          <t>30/08/2026</t>
        </is>
      </c>
      <c r="E233" t="n">
        <v>24</v>
      </c>
      <c r="F233" t="n">
        <v>0</v>
      </c>
      <c r="G233">
        <f>E6632+F6632</f>
        <v/>
      </c>
    </row>
    <row r="234">
      <c r="A234" t="inlineStr">
        <is>
          <t>36494866</t>
        </is>
      </c>
      <c r="B234" t="inlineStr">
        <is>
          <t>PRODUCTO 398FBF</t>
        </is>
      </c>
      <c r="C234" t="inlineStr">
        <is>
          <t>San Miguel</t>
        </is>
      </c>
      <c r="D234" t="inlineStr">
        <is>
          <t>30/08/2026</t>
        </is>
      </c>
      <c r="E234" t="n">
        <v>18</v>
      </c>
      <c r="F234" t="n">
        <v>0</v>
      </c>
      <c r="G234">
        <f>E6633+F6633</f>
        <v/>
      </c>
    </row>
    <row r="235">
      <c r="A235" t="inlineStr">
        <is>
          <t>36494866</t>
        </is>
      </c>
      <c r="B235" t="inlineStr">
        <is>
          <t>PRODUCTO 398FBF</t>
        </is>
      </c>
      <c r="C235" t="inlineStr">
        <is>
          <t>Miraflores</t>
        </is>
      </c>
      <c r="D235" t="inlineStr">
        <is>
          <t>30/08/2026</t>
        </is>
      </c>
      <c r="E235" t="n">
        <v>42</v>
      </c>
      <c r="F235" t="n">
        <v>0</v>
      </c>
      <c r="G235">
        <f>E6634+F6634</f>
        <v/>
      </c>
    </row>
    <row r="236">
      <c r="A236" t="inlineStr">
        <is>
          <t>36494866</t>
        </is>
      </c>
      <c r="B236" t="inlineStr">
        <is>
          <t>PRODUCTO 398FBF</t>
        </is>
      </c>
      <c r="C236" t="inlineStr">
        <is>
          <t>Salaverry</t>
        </is>
      </c>
      <c r="D236" t="inlineStr">
        <is>
          <t>30/08/2026</t>
        </is>
      </c>
      <c r="E236" t="n">
        <v>70</v>
      </c>
      <c r="F236" t="n">
        <v>0</v>
      </c>
      <c r="G236">
        <f>E6640+F6640</f>
        <v/>
      </c>
    </row>
    <row r="237">
      <c r="A237" t="inlineStr">
        <is>
          <t>36494866</t>
        </is>
      </c>
      <c r="B237" t="inlineStr">
        <is>
          <t>PRODUCTO 398FBF</t>
        </is>
      </c>
      <c r="C237" t="inlineStr">
        <is>
          <t>San Borja</t>
        </is>
      </c>
      <c r="D237" t="inlineStr">
        <is>
          <t>30/08/2026</t>
        </is>
      </c>
      <c r="E237" t="n">
        <v>44</v>
      </c>
      <c r="F237" t="n">
        <v>0</v>
      </c>
      <c r="G237">
        <f>E6641+F6641</f>
        <v/>
      </c>
    </row>
    <row r="238">
      <c r="A238" t="inlineStr">
        <is>
          <t>36494866</t>
        </is>
      </c>
      <c r="B238" t="inlineStr">
        <is>
          <t>PRODUCTO 398FBF</t>
        </is>
      </c>
      <c r="C238" t="inlineStr">
        <is>
          <t>Piura</t>
        </is>
      </c>
      <c r="D238" t="inlineStr">
        <is>
          <t>30/08/2026</t>
        </is>
      </c>
      <c r="E238" t="n">
        <v>54</v>
      </c>
      <c r="F238" t="n">
        <v>0</v>
      </c>
      <c r="G238">
        <f>E6643+F6643</f>
        <v/>
      </c>
    </row>
    <row r="239">
      <c r="A239" t="inlineStr">
        <is>
          <t>36504307</t>
        </is>
      </c>
      <c r="B239" t="inlineStr">
        <is>
          <t>PRODUCTO 01AFFA</t>
        </is>
      </c>
      <c r="C239" t="inlineStr">
        <is>
          <t>Miraflores</t>
        </is>
      </c>
      <c r="D239" t="inlineStr">
        <is>
          <t>30/08/2026</t>
        </is>
      </c>
      <c r="E239" t="n">
        <v>1</v>
      </c>
      <c r="F239" t="n">
        <v>0</v>
      </c>
      <c r="G239">
        <f>E6787+F6787</f>
        <v/>
      </c>
    </row>
    <row r="240">
      <c r="A240" t="inlineStr">
        <is>
          <t>36513182</t>
        </is>
      </c>
      <c r="B240" t="inlineStr">
        <is>
          <t>PRODUCTO 6F3593</t>
        </is>
      </c>
      <c r="C240" t="inlineStr">
        <is>
          <t>Jockey Plaza</t>
        </is>
      </c>
      <c r="D240" t="inlineStr">
        <is>
          <t>30/08/2026</t>
        </is>
      </c>
      <c r="E240" t="n">
        <v>3</v>
      </c>
      <c r="F240" t="n">
        <v>0</v>
      </c>
      <c r="G240">
        <f>E6833+F6833</f>
        <v/>
      </c>
    </row>
    <row r="241">
      <c r="A241" t="inlineStr">
        <is>
          <t>36513182</t>
        </is>
      </c>
      <c r="B241" t="inlineStr">
        <is>
          <t>PRODUCTO 6F3593</t>
        </is>
      </c>
      <c r="C241" t="inlineStr">
        <is>
          <t>Miraflores</t>
        </is>
      </c>
      <c r="D241" t="inlineStr">
        <is>
          <t>30/08/2026</t>
        </is>
      </c>
      <c r="E241" t="n">
        <v>7</v>
      </c>
      <c r="F241" t="n">
        <v>0</v>
      </c>
      <c r="G241">
        <f>E6834+F6834</f>
        <v/>
      </c>
    </row>
    <row r="242">
      <c r="A242" t="inlineStr">
        <is>
          <t>36513182</t>
        </is>
      </c>
      <c r="B242" t="inlineStr">
        <is>
          <t>PRODUCTO 6F3593</t>
        </is>
      </c>
      <c r="C242" t="inlineStr">
        <is>
          <t>Salaverry</t>
        </is>
      </c>
      <c r="D242" t="inlineStr">
        <is>
          <t>30/08/2026</t>
        </is>
      </c>
      <c r="E242" t="n">
        <v>1</v>
      </c>
      <c r="F242" t="n">
        <v>0</v>
      </c>
      <c r="G242">
        <f>E6836+F6836</f>
        <v/>
      </c>
    </row>
    <row r="243">
      <c r="A243" t="inlineStr">
        <is>
          <t>36513182</t>
        </is>
      </c>
      <c r="B243" t="inlineStr">
        <is>
          <t>PRODUCTO 6F3593</t>
        </is>
      </c>
      <c r="C243" t="inlineStr">
        <is>
          <t>San Borja</t>
        </is>
      </c>
      <c r="D243" t="inlineStr">
        <is>
          <t>30/08/2026</t>
        </is>
      </c>
      <c r="E243" t="n">
        <v>4</v>
      </c>
      <c r="F243" t="n">
        <v>0</v>
      </c>
      <c r="G243">
        <f>E6837+F6837</f>
        <v/>
      </c>
    </row>
    <row r="244">
      <c r="A244" t="inlineStr">
        <is>
          <t>36667952</t>
        </is>
      </c>
      <c r="B244" t="inlineStr">
        <is>
          <t>PRODUCTO F3EEE1</t>
        </is>
      </c>
      <c r="C244" t="inlineStr">
        <is>
          <t>Jockey Plaza</t>
        </is>
      </c>
      <c r="D244" t="inlineStr">
        <is>
          <t>30/08/2026</t>
        </is>
      </c>
      <c r="E244" t="n">
        <v>4</v>
      </c>
      <c r="F244" t="n">
        <v>0</v>
      </c>
      <c r="G244">
        <f>E7046+F7046</f>
        <v/>
      </c>
    </row>
    <row r="245">
      <c r="A245" t="inlineStr">
        <is>
          <t>36667952</t>
        </is>
      </c>
      <c r="B245" t="inlineStr">
        <is>
          <t>PRODUCTO F3EEE1</t>
        </is>
      </c>
      <c r="C245" t="inlineStr">
        <is>
          <t>San Miguel</t>
        </is>
      </c>
      <c r="D245" t="inlineStr">
        <is>
          <t>30/08/2026</t>
        </is>
      </c>
      <c r="E245" t="n">
        <v>4</v>
      </c>
      <c r="F245" t="n">
        <v>0</v>
      </c>
      <c r="G245">
        <f>E7047+F7047</f>
        <v/>
      </c>
    </row>
    <row r="246">
      <c r="A246" t="inlineStr">
        <is>
          <t>36667952</t>
        </is>
      </c>
      <c r="B246" t="inlineStr">
        <is>
          <t>PRODUCTO F3EEE1</t>
        </is>
      </c>
      <c r="C246" t="inlineStr">
        <is>
          <t>Miraflores</t>
        </is>
      </c>
      <c r="D246" t="inlineStr">
        <is>
          <t>30/08/2026</t>
        </is>
      </c>
      <c r="E246" t="n">
        <v>13</v>
      </c>
      <c r="F246" t="n">
        <v>0</v>
      </c>
      <c r="G246">
        <f>E7048+F7048</f>
        <v/>
      </c>
    </row>
    <row r="247">
      <c r="A247" t="inlineStr">
        <is>
          <t>36667952</t>
        </is>
      </c>
      <c r="B247" t="inlineStr">
        <is>
          <t>PRODUCTO F3EEE1</t>
        </is>
      </c>
      <c r="C247" t="inlineStr">
        <is>
          <t>Salaverry</t>
        </is>
      </c>
      <c r="D247" t="inlineStr">
        <is>
          <t>30/08/2026</t>
        </is>
      </c>
      <c r="E247" t="n">
        <v>3</v>
      </c>
      <c r="F247" t="n">
        <v>0</v>
      </c>
      <c r="G247">
        <f>E7053+F7053</f>
        <v/>
      </c>
    </row>
    <row r="248">
      <c r="A248" t="inlineStr">
        <is>
          <t>36667952</t>
        </is>
      </c>
      <c r="B248" t="inlineStr">
        <is>
          <t>PRODUCTO F3EEE1</t>
        </is>
      </c>
      <c r="C248" t="inlineStr">
        <is>
          <t>San Borja</t>
        </is>
      </c>
      <c r="D248" t="inlineStr">
        <is>
          <t>30/08/2026</t>
        </is>
      </c>
      <c r="E248" t="n">
        <v>8</v>
      </c>
      <c r="F248" t="n">
        <v>0</v>
      </c>
      <c r="G248">
        <f>E7054+F7054</f>
        <v/>
      </c>
    </row>
    <row r="249">
      <c r="A249" t="inlineStr">
        <is>
          <t>36667952</t>
        </is>
      </c>
      <c r="B249" t="inlineStr">
        <is>
          <t>PRODUCTO F3EEE1</t>
        </is>
      </c>
      <c r="C249" t="inlineStr">
        <is>
          <t>Piura</t>
        </is>
      </c>
      <c r="D249" t="inlineStr">
        <is>
          <t>30/08/2026</t>
        </is>
      </c>
      <c r="E249" t="n">
        <v>5</v>
      </c>
      <c r="F249" t="n">
        <v>0</v>
      </c>
      <c r="G249">
        <f>E7056+F7056</f>
        <v/>
      </c>
    </row>
    <row r="250">
      <c r="A250" t="inlineStr">
        <is>
          <t>36677296</t>
        </is>
      </c>
      <c r="B250" t="inlineStr">
        <is>
          <t>PRODUCTO 8D2A14</t>
        </is>
      </c>
      <c r="C250" t="inlineStr">
        <is>
          <t>Jockey Plaza</t>
        </is>
      </c>
      <c r="D250" t="inlineStr">
        <is>
          <t>30/08/2026</t>
        </is>
      </c>
      <c r="E250" t="n">
        <v>3</v>
      </c>
      <c r="F250" t="n">
        <v>0</v>
      </c>
      <c r="G250">
        <f>E7066+F7066</f>
        <v/>
      </c>
    </row>
    <row r="251">
      <c r="A251" t="inlineStr">
        <is>
          <t>36677296</t>
        </is>
      </c>
      <c r="B251" t="inlineStr">
        <is>
          <t>PRODUCTO 8D2A14</t>
        </is>
      </c>
      <c r="C251" t="inlineStr">
        <is>
          <t>San Miguel</t>
        </is>
      </c>
      <c r="D251" t="inlineStr">
        <is>
          <t>30/08/2026</t>
        </is>
      </c>
      <c r="E251" t="n">
        <v>3</v>
      </c>
      <c r="F251" t="n">
        <v>0</v>
      </c>
      <c r="G251">
        <f>E7067+F7067</f>
        <v/>
      </c>
    </row>
    <row r="252">
      <c r="A252" t="inlineStr">
        <is>
          <t>36677296</t>
        </is>
      </c>
      <c r="B252" t="inlineStr">
        <is>
          <t>PRODUCTO 8D2A14</t>
        </is>
      </c>
      <c r="C252" t="inlineStr">
        <is>
          <t>Miraflores</t>
        </is>
      </c>
      <c r="D252" t="inlineStr">
        <is>
          <t>30/08/2026</t>
        </is>
      </c>
      <c r="E252" t="n">
        <v>8</v>
      </c>
      <c r="F252" t="n">
        <v>0</v>
      </c>
      <c r="G252">
        <f>E7068+F7068</f>
        <v/>
      </c>
    </row>
    <row r="253">
      <c r="A253" t="inlineStr">
        <is>
          <t>36677296</t>
        </is>
      </c>
      <c r="B253" t="inlineStr">
        <is>
          <t>PRODUCTO 8D2A14</t>
        </is>
      </c>
      <c r="C253" t="inlineStr">
        <is>
          <t>San Borja</t>
        </is>
      </c>
      <c r="D253" t="inlineStr">
        <is>
          <t>30/08/2026</t>
        </is>
      </c>
      <c r="E253" t="n">
        <v>10</v>
      </c>
      <c r="F253" t="n">
        <v>0</v>
      </c>
      <c r="G253">
        <f>E7075+F7075</f>
        <v/>
      </c>
    </row>
    <row r="254">
      <c r="A254" t="inlineStr">
        <is>
          <t>36677296</t>
        </is>
      </c>
      <c r="B254" t="inlineStr">
        <is>
          <t>PRODUCTO 8D2A14</t>
        </is>
      </c>
      <c r="C254" t="inlineStr">
        <is>
          <t>Piura</t>
        </is>
      </c>
      <c r="D254" t="inlineStr">
        <is>
          <t>30/08/2026</t>
        </is>
      </c>
      <c r="E254" t="n">
        <v>0</v>
      </c>
      <c r="F254" t="n">
        <v>0</v>
      </c>
      <c r="G254">
        <f>E7078+F7078</f>
        <v/>
      </c>
    </row>
    <row r="255">
      <c r="A255" t="inlineStr">
        <is>
          <t>36677307</t>
        </is>
      </c>
      <c r="B255" t="inlineStr">
        <is>
          <t>PRODUCTO F844CF</t>
        </is>
      </c>
      <c r="C255" t="inlineStr">
        <is>
          <t>San Miguel</t>
        </is>
      </c>
      <c r="D255" t="inlineStr">
        <is>
          <t>30/08/2026</t>
        </is>
      </c>
      <c r="E255" t="n">
        <v>2</v>
      </c>
      <c r="F255" t="n">
        <v>0</v>
      </c>
      <c r="G255">
        <f>E7080+F7080</f>
        <v/>
      </c>
    </row>
    <row r="256">
      <c r="A256" t="inlineStr">
        <is>
          <t>36677307</t>
        </is>
      </c>
      <c r="B256" t="inlineStr">
        <is>
          <t>PRODUCTO F844CF</t>
        </is>
      </c>
      <c r="C256" t="inlineStr">
        <is>
          <t>Miraflores</t>
        </is>
      </c>
      <c r="D256" t="inlineStr">
        <is>
          <t>30/08/2026</t>
        </is>
      </c>
      <c r="E256" t="n">
        <v>2</v>
      </c>
      <c r="F256" t="n">
        <v>0</v>
      </c>
      <c r="G256">
        <f>E7081+F7081</f>
        <v/>
      </c>
    </row>
    <row r="257">
      <c r="A257" t="inlineStr">
        <is>
          <t>36677307</t>
        </is>
      </c>
      <c r="B257" t="inlineStr">
        <is>
          <t>PRODUCTO F844CF</t>
        </is>
      </c>
      <c r="C257" t="inlineStr">
        <is>
          <t>Salaverry</t>
        </is>
      </c>
      <c r="D257" t="inlineStr">
        <is>
          <t>30/08/2026</t>
        </is>
      </c>
      <c r="E257" t="n">
        <v>2</v>
      </c>
      <c r="F257" t="n">
        <v>0</v>
      </c>
      <c r="G257">
        <f>E7086+F7086</f>
        <v/>
      </c>
    </row>
    <row r="258">
      <c r="A258" t="inlineStr">
        <is>
          <t>36677307</t>
        </is>
      </c>
      <c r="B258" t="inlineStr">
        <is>
          <t>PRODUCTO F844CF</t>
        </is>
      </c>
      <c r="C258" t="inlineStr">
        <is>
          <t>San Borja</t>
        </is>
      </c>
      <c r="D258" t="inlineStr">
        <is>
          <t>30/08/2026</t>
        </is>
      </c>
      <c r="E258" t="n">
        <v>8</v>
      </c>
      <c r="F258" t="n">
        <v>0</v>
      </c>
      <c r="G258">
        <f>E7087+F7087</f>
        <v/>
      </c>
    </row>
    <row r="259">
      <c r="A259" t="inlineStr">
        <is>
          <t>36677307</t>
        </is>
      </c>
      <c r="B259" t="inlineStr">
        <is>
          <t>PRODUCTO F844CF</t>
        </is>
      </c>
      <c r="C259" t="inlineStr">
        <is>
          <t>Piura</t>
        </is>
      </c>
      <c r="D259" t="inlineStr">
        <is>
          <t>30/08/2026</t>
        </is>
      </c>
      <c r="E259" t="n">
        <v>3</v>
      </c>
      <c r="F259" t="n">
        <v>0</v>
      </c>
      <c r="G259">
        <f>E7088+F7088</f>
        <v/>
      </c>
    </row>
    <row r="260">
      <c r="A260" t="inlineStr">
        <is>
          <t>36678450</t>
        </is>
      </c>
      <c r="B260" t="inlineStr">
        <is>
          <t>PRODUCTO FB4091</t>
        </is>
      </c>
      <c r="C260" t="inlineStr">
        <is>
          <t>San Borja</t>
        </is>
      </c>
      <c r="D260" t="inlineStr">
        <is>
          <t>30/08/2026</t>
        </is>
      </c>
      <c r="E260" t="n">
        <v>3</v>
      </c>
      <c r="F260" t="n">
        <v>0</v>
      </c>
      <c r="G260">
        <f>E7208+F7208</f>
        <v/>
      </c>
    </row>
    <row r="261">
      <c r="A261" t="inlineStr">
        <is>
          <t>36678476</t>
        </is>
      </c>
      <c r="B261" t="inlineStr">
        <is>
          <t>PRODUCTO 9332CE</t>
        </is>
      </c>
      <c r="C261" t="inlineStr">
        <is>
          <t>Jockey Plaza</t>
        </is>
      </c>
      <c r="D261" t="inlineStr">
        <is>
          <t>30/08/2026</t>
        </is>
      </c>
      <c r="E261" t="n">
        <v>4</v>
      </c>
      <c r="F261" t="n">
        <v>0</v>
      </c>
      <c r="G261">
        <f>E7247+F7247</f>
        <v/>
      </c>
    </row>
    <row r="262">
      <c r="A262" t="inlineStr">
        <is>
          <t>36678476</t>
        </is>
      </c>
      <c r="B262" t="inlineStr">
        <is>
          <t>PRODUCTO 9332CE</t>
        </is>
      </c>
      <c r="C262" t="inlineStr">
        <is>
          <t>San Miguel</t>
        </is>
      </c>
      <c r="D262" t="inlineStr">
        <is>
          <t>30/08/2026</t>
        </is>
      </c>
      <c r="E262" t="n">
        <v>1</v>
      </c>
      <c r="F262" t="n">
        <v>0</v>
      </c>
      <c r="G262">
        <f>E7248+F7248</f>
        <v/>
      </c>
    </row>
    <row r="263">
      <c r="A263" t="inlineStr">
        <is>
          <t>36678476</t>
        </is>
      </c>
      <c r="B263" t="inlineStr">
        <is>
          <t>PRODUCTO 9332CE</t>
        </is>
      </c>
      <c r="C263" t="inlineStr">
        <is>
          <t>Miraflores</t>
        </is>
      </c>
      <c r="D263" t="inlineStr">
        <is>
          <t>30/08/2026</t>
        </is>
      </c>
      <c r="E263" t="n">
        <v>-4</v>
      </c>
      <c r="F263" t="n">
        <v>0</v>
      </c>
      <c r="G263">
        <f>E7249+F7249</f>
        <v/>
      </c>
    </row>
    <row r="264">
      <c r="A264" t="inlineStr">
        <is>
          <t>36678476</t>
        </is>
      </c>
      <c r="B264" t="inlineStr">
        <is>
          <t>PRODUCTO 9332CE</t>
        </is>
      </c>
      <c r="C264" t="inlineStr">
        <is>
          <t>Salaverry</t>
        </is>
      </c>
      <c r="D264" t="inlineStr">
        <is>
          <t>30/08/2026</t>
        </is>
      </c>
      <c r="E264" t="n">
        <v>6</v>
      </c>
      <c r="F264" t="n">
        <v>0</v>
      </c>
      <c r="G264">
        <f>E7254+F7254</f>
        <v/>
      </c>
    </row>
    <row r="265">
      <c r="A265" t="inlineStr">
        <is>
          <t>36678476</t>
        </is>
      </c>
      <c r="B265" t="inlineStr">
        <is>
          <t>PRODUCTO 9332CE</t>
        </is>
      </c>
      <c r="C265" t="inlineStr">
        <is>
          <t>San Borja</t>
        </is>
      </c>
      <c r="D265" t="inlineStr">
        <is>
          <t>30/08/2026</t>
        </is>
      </c>
      <c r="E265" t="n">
        <v>6</v>
      </c>
      <c r="F265" t="n">
        <v>0</v>
      </c>
      <c r="G265">
        <f>E7255+F7255</f>
        <v/>
      </c>
    </row>
    <row r="266">
      <c r="A266" t="inlineStr">
        <is>
          <t>36678476</t>
        </is>
      </c>
      <c r="B266" t="inlineStr">
        <is>
          <t>PRODUCTO 9332CE</t>
        </is>
      </c>
      <c r="C266" t="inlineStr">
        <is>
          <t>Piura</t>
        </is>
      </c>
      <c r="D266" t="inlineStr">
        <is>
          <t>30/08/2026</t>
        </is>
      </c>
      <c r="E266" t="n">
        <v>1</v>
      </c>
      <c r="F266" t="n">
        <v>0</v>
      </c>
      <c r="G266">
        <f>E7257+F7257</f>
        <v/>
      </c>
    </row>
    <row r="267">
      <c r="A267" t="inlineStr">
        <is>
          <t>36678575</t>
        </is>
      </c>
      <c r="B267" t="inlineStr">
        <is>
          <t>PRODUCTO 679070</t>
        </is>
      </c>
      <c r="C267" t="inlineStr">
        <is>
          <t>Jockey Plaza</t>
        </is>
      </c>
      <c r="D267" t="inlineStr">
        <is>
          <t>30/08/2026</t>
        </is>
      </c>
      <c r="E267" t="n">
        <v>17</v>
      </c>
      <c r="F267" t="n">
        <v>0</v>
      </c>
      <c r="G267">
        <f>E7412+F7412</f>
        <v/>
      </c>
    </row>
    <row r="268">
      <c r="A268" t="inlineStr">
        <is>
          <t>36678575</t>
        </is>
      </c>
      <c r="B268" t="inlineStr">
        <is>
          <t>PRODUCTO 679070</t>
        </is>
      </c>
      <c r="C268" t="inlineStr">
        <is>
          <t>San Miguel</t>
        </is>
      </c>
      <c r="D268" t="inlineStr">
        <is>
          <t>30/08/2026</t>
        </is>
      </c>
      <c r="E268" t="n">
        <v>3</v>
      </c>
      <c r="F268" t="n">
        <v>0</v>
      </c>
      <c r="G268">
        <f>E7413+F7413</f>
        <v/>
      </c>
    </row>
    <row r="269">
      <c r="A269" t="inlineStr">
        <is>
          <t>36678575</t>
        </is>
      </c>
      <c r="B269" t="inlineStr">
        <is>
          <t>PRODUCTO 679070</t>
        </is>
      </c>
      <c r="C269" t="inlineStr">
        <is>
          <t>Miraflores</t>
        </is>
      </c>
      <c r="D269" t="inlineStr">
        <is>
          <t>30/08/2026</t>
        </is>
      </c>
      <c r="E269" t="n">
        <v>29</v>
      </c>
      <c r="F269" t="n">
        <v>0</v>
      </c>
      <c r="G269">
        <f>E7414+F7414</f>
        <v/>
      </c>
    </row>
    <row r="270">
      <c r="A270" t="inlineStr">
        <is>
          <t>36678575</t>
        </is>
      </c>
      <c r="B270" t="inlineStr">
        <is>
          <t>PRODUCTO 679070</t>
        </is>
      </c>
      <c r="C270" t="inlineStr">
        <is>
          <t>Salaverry</t>
        </is>
      </c>
      <c r="D270" t="inlineStr">
        <is>
          <t>30/08/2026</t>
        </is>
      </c>
      <c r="E270" t="n">
        <v>6</v>
      </c>
      <c r="F270" t="n">
        <v>0</v>
      </c>
      <c r="G270">
        <f>E7423+F7423</f>
        <v/>
      </c>
    </row>
    <row r="271">
      <c r="A271" t="inlineStr">
        <is>
          <t>36678575</t>
        </is>
      </c>
      <c r="B271" t="inlineStr">
        <is>
          <t>PRODUCTO 679070</t>
        </is>
      </c>
      <c r="C271" t="inlineStr">
        <is>
          <t>San Borja</t>
        </is>
      </c>
      <c r="D271" t="inlineStr">
        <is>
          <t>30/08/2026</t>
        </is>
      </c>
      <c r="E271" t="n">
        <v>20</v>
      </c>
      <c r="F271" t="n">
        <v>0</v>
      </c>
      <c r="G271">
        <f>E7424+F7424</f>
        <v/>
      </c>
    </row>
    <row r="272">
      <c r="A272" t="inlineStr">
        <is>
          <t>36678575</t>
        </is>
      </c>
      <c r="B272" t="inlineStr">
        <is>
          <t>PRODUCTO 679070</t>
        </is>
      </c>
      <c r="C272" t="inlineStr">
        <is>
          <t>Piura</t>
        </is>
      </c>
      <c r="D272" t="inlineStr">
        <is>
          <t>30/08/2026</t>
        </is>
      </c>
      <c r="E272" t="n">
        <v>2</v>
      </c>
      <c r="F272" t="n">
        <v>0</v>
      </c>
      <c r="G272">
        <f>E7430+F7430</f>
        <v/>
      </c>
    </row>
    <row r="273">
      <c r="A273" t="inlineStr">
        <is>
          <t>36755142</t>
        </is>
      </c>
      <c r="B273" t="inlineStr">
        <is>
          <t>PRODUCTO ACE89C</t>
        </is>
      </c>
      <c r="C273" t="inlineStr">
        <is>
          <t>Miraflores</t>
        </is>
      </c>
      <c r="D273" t="inlineStr">
        <is>
          <t>30/08/2026</t>
        </is>
      </c>
      <c r="E273" t="n">
        <v>0</v>
      </c>
      <c r="F273" t="n">
        <v>1</v>
      </c>
      <c r="G273">
        <f>E7562+F7562</f>
        <v/>
      </c>
    </row>
    <row r="274">
      <c r="A274" t="inlineStr">
        <is>
          <t>36755142</t>
        </is>
      </c>
      <c r="B274" t="inlineStr">
        <is>
          <t>PRODUCTO ACE89C</t>
        </is>
      </c>
      <c r="C274" t="inlineStr">
        <is>
          <t>San Borja</t>
        </is>
      </c>
      <c r="D274" t="inlineStr">
        <is>
          <t>30/08/2026</t>
        </is>
      </c>
      <c r="E274" t="n">
        <v>-7</v>
      </c>
      <c r="F274" t="n">
        <v>0</v>
      </c>
      <c r="G274">
        <f>E7564+F7564</f>
        <v/>
      </c>
    </row>
    <row r="275">
      <c r="A275" t="inlineStr">
        <is>
          <t>36755142</t>
        </is>
      </c>
      <c r="B275" t="inlineStr">
        <is>
          <t>PRODUCTO ACE89C</t>
        </is>
      </c>
      <c r="C275" t="inlineStr">
        <is>
          <t>Piura</t>
        </is>
      </c>
      <c r="D275" t="inlineStr">
        <is>
          <t>30/08/2026</t>
        </is>
      </c>
      <c r="E275" t="n">
        <v>8</v>
      </c>
      <c r="F275" t="n">
        <v>0</v>
      </c>
      <c r="G275">
        <f>E7565+F7565</f>
        <v/>
      </c>
    </row>
    <row r="276">
      <c r="A276" t="inlineStr">
        <is>
          <t>36755218</t>
        </is>
      </c>
      <c r="B276" t="inlineStr">
        <is>
          <t>PRODUCTO BF0DD2</t>
        </is>
      </c>
      <c r="C276" t="inlineStr">
        <is>
          <t>San Miguel</t>
        </is>
      </c>
      <c r="D276" t="inlineStr">
        <is>
          <t>30/08/2026</t>
        </is>
      </c>
      <c r="E276" t="n">
        <v>1</v>
      </c>
      <c r="F276" t="n">
        <v>0</v>
      </c>
      <c r="G276">
        <f>E7574+F7574</f>
        <v/>
      </c>
    </row>
    <row r="277">
      <c r="A277" t="inlineStr">
        <is>
          <t>36755218</t>
        </is>
      </c>
      <c r="B277" t="inlineStr">
        <is>
          <t>PRODUCTO BF0DD2</t>
        </is>
      </c>
      <c r="C277" t="inlineStr">
        <is>
          <t>Miraflores</t>
        </is>
      </c>
      <c r="D277" t="inlineStr">
        <is>
          <t>30/08/2026</t>
        </is>
      </c>
      <c r="E277" t="n">
        <v>1</v>
      </c>
      <c r="F277" t="n">
        <v>1</v>
      </c>
      <c r="G277">
        <f>E7575+F7575</f>
        <v/>
      </c>
    </row>
    <row r="278">
      <c r="A278" t="inlineStr">
        <is>
          <t>36755218</t>
        </is>
      </c>
      <c r="B278" t="inlineStr">
        <is>
          <t>PRODUCTO BF0DD2</t>
        </is>
      </c>
      <c r="C278" t="inlineStr">
        <is>
          <t>San Borja</t>
        </is>
      </c>
      <c r="D278" t="inlineStr">
        <is>
          <t>30/08/2026</t>
        </is>
      </c>
      <c r="E278" t="n">
        <v>2</v>
      </c>
      <c r="F278" t="n">
        <v>0</v>
      </c>
      <c r="G278">
        <f>E7577+F7577</f>
        <v/>
      </c>
    </row>
    <row r="279">
      <c r="A279" t="inlineStr">
        <is>
          <t>36755218</t>
        </is>
      </c>
      <c r="B279" t="inlineStr">
        <is>
          <t>PRODUCTO BF0DD2</t>
        </is>
      </c>
      <c r="C279" t="inlineStr">
        <is>
          <t>Piura</t>
        </is>
      </c>
      <c r="D279" t="inlineStr">
        <is>
          <t>30/08/2026</t>
        </is>
      </c>
      <c r="E279" t="n">
        <v>1</v>
      </c>
      <c r="F279" t="n">
        <v>0</v>
      </c>
      <c r="G279">
        <f>E7578+F7578</f>
        <v/>
      </c>
    </row>
    <row r="280">
      <c r="A280" t="inlineStr">
        <is>
          <t>36780298</t>
        </is>
      </c>
      <c r="B280" t="inlineStr">
        <is>
          <t>PRODUCTO D45071</t>
        </is>
      </c>
      <c r="C280" t="inlineStr">
        <is>
          <t>Miraflores</t>
        </is>
      </c>
      <c r="D280" t="inlineStr">
        <is>
          <t>30/08/2026</t>
        </is>
      </c>
      <c r="E280" t="n">
        <v>3</v>
      </c>
      <c r="F280" t="n">
        <v>2</v>
      </c>
      <c r="G280">
        <f>E7588+F7588</f>
        <v/>
      </c>
    </row>
    <row r="281">
      <c r="A281" t="inlineStr">
        <is>
          <t>36780298</t>
        </is>
      </c>
      <c r="B281" t="inlineStr">
        <is>
          <t>PRODUCTO D45071</t>
        </is>
      </c>
      <c r="C281" t="inlineStr">
        <is>
          <t>Salaverry</t>
        </is>
      </c>
      <c r="D281" t="inlineStr">
        <is>
          <t>30/08/2026</t>
        </is>
      </c>
      <c r="E281" t="n">
        <v>1</v>
      </c>
      <c r="F281" t="n">
        <v>0</v>
      </c>
      <c r="G281">
        <f>E7590+F7590</f>
        <v/>
      </c>
    </row>
    <row r="282">
      <c r="A282" t="inlineStr">
        <is>
          <t>36780298</t>
        </is>
      </c>
      <c r="B282" t="inlineStr">
        <is>
          <t>PRODUCTO D45071</t>
        </is>
      </c>
      <c r="C282" t="inlineStr">
        <is>
          <t>San Borja</t>
        </is>
      </c>
      <c r="D282" t="inlineStr">
        <is>
          <t>30/08/2026</t>
        </is>
      </c>
      <c r="E282" t="n">
        <v>2</v>
      </c>
      <c r="F282" t="n">
        <v>0</v>
      </c>
      <c r="G282">
        <f>E7591+F7591</f>
        <v/>
      </c>
    </row>
    <row r="283">
      <c r="A283" t="inlineStr">
        <is>
          <t>36780298</t>
        </is>
      </c>
      <c r="B283" t="inlineStr">
        <is>
          <t>PRODUCTO D45071</t>
        </is>
      </c>
      <c r="C283" t="inlineStr">
        <is>
          <t>Piura</t>
        </is>
      </c>
      <c r="D283" t="inlineStr">
        <is>
          <t>30/08/2026</t>
        </is>
      </c>
      <c r="E283" t="n">
        <v>16</v>
      </c>
      <c r="F283" t="n">
        <v>0</v>
      </c>
      <c r="G283">
        <f>E7593+F7593</f>
        <v/>
      </c>
    </row>
    <row r="284">
      <c r="A284" t="inlineStr">
        <is>
          <t>36793346</t>
        </is>
      </c>
      <c r="B284" t="inlineStr">
        <is>
          <t>PRODUCTO 27F5D1</t>
        </is>
      </c>
      <c r="C284" t="inlineStr">
        <is>
          <t>Miraflores</t>
        </is>
      </c>
      <c r="D284" t="inlineStr">
        <is>
          <t>30/08/2026</t>
        </is>
      </c>
      <c r="E284" t="n">
        <v>3</v>
      </c>
      <c r="F284" t="n">
        <v>0</v>
      </c>
      <c r="G284">
        <f>E7682+F7682</f>
        <v/>
      </c>
    </row>
    <row r="285">
      <c r="A285" t="inlineStr">
        <is>
          <t>36793346</t>
        </is>
      </c>
      <c r="B285" t="inlineStr">
        <is>
          <t>PRODUCTO 27F5D1</t>
        </is>
      </c>
      <c r="C285" t="inlineStr">
        <is>
          <t>San Borja</t>
        </is>
      </c>
      <c r="D285" t="inlineStr">
        <is>
          <t>30/08/2026</t>
        </is>
      </c>
      <c r="E285" t="n">
        <v>1</v>
      </c>
      <c r="F285" t="n">
        <v>0</v>
      </c>
      <c r="G285">
        <f>E7686+F7686</f>
        <v/>
      </c>
    </row>
    <row r="286">
      <c r="A286" t="inlineStr">
        <is>
          <t>36793346</t>
        </is>
      </c>
      <c r="B286" t="inlineStr">
        <is>
          <t>PRODUCTO 27F5D1</t>
        </is>
      </c>
      <c r="C286" t="inlineStr">
        <is>
          <t>Piura</t>
        </is>
      </c>
      <c r="D286" t="inlineStr">
        <is>
          <t>30/08/2026</t>
        </is>
      </c>
      <c r="E286" t="n">
        <v>2</v>
      </c>
      <c r="F286" t="n">
        <v>0</v>
      </c>
      <c r="G286">
        <f>E7687+F7687</f>
        <v/>
      </c>
    </row>
    <row r="287">
      <c r="A287" t="inlineStr">
        <is>
          <t>36812167</t>
        </is>
      </c>
      <c r="B287" t="inlineStr">
        <is>
          <t>PRODUCTO CEBBBA</t>
        </is>
      </c>
      <c r="C287" t="inlineStr">
        <is>
          <t>San Borja</t>
        </is>
      </c>
      <c r="D287" t="inlineStr">
        <is>
          <t>30/08/2026</t>
        </is>
      </c>
      <c r="E287" t="n">
        <v>1</v>
      </c>
      <c r="F287" t="n">
        <v>0</v>
      </c>
      <c r="G287">
        <f>E7745+F7745</f>
        <v/>
      </c>
    </row>
    <row r="288">
      <c r="A288" t="inlineStr">
        <is>
          <t>36812167</t>
        </is>
      </c>
      <c r="B288" t="inlineStr">
        <is>
          <t>PRODUCTO CEBBBA</t>
        </is>
      </c>
      <c r="C288" t="inlineStr">
        <is>
          <t>Piura</t>
        </is>
      </c>
      <c r="D288" t="inlineStr">
        <is>
          <t>30/08/2026</t>
        </is>
      </c>
      <c r="E288" t="n">
        <v>2</v>
      </c>
      <c r="F288" t="n">
        <v>0</v>
      </c>
      <c r="G288">
        <f>E7746+F7746</f>
        <v/>
      </c>
    </row>
    <row r="289">
      <c r="A289" t="inlineStr">
        <is>
          <t>36812595</t>
        </is>
      </c>
      <c r="B289" t="inlineStr">
        <is>
          <t>PRODUCTO D2A5E4</t>
        </is>
      </c>
      <c r="C289" t="inlineStr">
        <is>
          <t>Piura</t>
        </is>
      </c>
      <c r="D289" t="inlineStr">
        <is>
          <t>30/08/2026</t>
        </is>
      </c>
      <c r="E289" t="n">
        <v>4</v>
      </c>
      <c r="F289" t="n">
        <v>0</v>
      </c>
      <c r="G289">
        <f>E7767+F7767</f>
        <v/>
      </c>
    </row>
    <row r="290">
      <c r="A290" t="inlineStr">
        <is>
          <t>36812621</t>
        </is>
      </c>
      <c r="B290" t="inlineStr">
        <is>
          <t>PRODUCTO 402767</t>
        </is>
      </c>
      <c r="C290" t="inlineStr">
        <is>
          <t>Jockey Plaza</t>
        </is>
      </c>
      <c r="D290" t="inlineStr">
        <is>
          <t>30/08/2026</t>
        </is>
      </c>
      <c r="E290" t="n">
        <v>2</v>
      </c>
      <c r="F290" t="n">
        <v>0</v>
      </c>
      <c r="G290">
        <f>E7768+F7768</f>
        <v/>
      </c>
    </row>
    <row r="291">
      <c r="A291" t="inlineStr">
        <is>
          <t>36812621</t>
        </is>
      </c>
      <c r="B291" t="inlineStr">
        <is>
          <t>PRODUCTO 402767</t>
        </is>
      </c>
      <c r="C291" t="inlineStr">
        <is>
          <t>Miraflores</t>
        </is>
      </c>
      <c r="D291" t="inlineStr">
        <is>
          <t>30/08/2026</t>
        </is>
      </c>
      <c r="E291" t="n">
        <v>3</v>
      </c>
      <c r="F291" t="n">
        <v>0</v>
      </c>
      <c r="G291">
        <f>E7769+F7769</f>
        <v/>
      </c>
    </row>
    <row r="292">
      <c r="A292" t="inlineStr">
        <is>
          <t>36812621</t>
        </is>
      </c>
      <c r="B292" t="inlineStr">
        <is>
          <t>PRODUCTO 402767</t>
        </is>
      </c>
      <c r="C292" t="inlineStr">
        <is>
          <t>Salaverry</t>
        </is>
      </c>
      <c r="D292" t="inlineStr">
        <is>
          <t>30/08/2026</t>
        </is>
      </c>
      <c r="E292" t="n">
        <v>2</v>
      </c>
      <c r="F292" t="n">
        <v>0</v>
      </c>
      <c r="G292">
        <f>E7773+F7773</f>
        <v/>
      </c>
    </row>
    <row r="293">
      <c r="A293" t="inlineStr">
        <is>
          <t>36812621</t>
        </is>
      </c>
      <c r="B293" t="inlineStr">
        <is>
          <t>PRODUCTO 402767</t>
        </is>
      </c>
      <c r="C293" t="inlineStr">
        <is>
          <t>San Borja</t>
        </is>
      </c>
      <c r="D293" t="inlineStr">
        <is>
          <t>30/08/2026</t>
        </is>
      </c>
      <c r="E293" t="n">
        <v>7</v>
      </c>
      <c r="F293" t="n">
        <v>0</v>
      </c>
      <c r="G293">
        <f>E7774+F7774</f>
        <v/>
      </c>
    </row>
    <row r="294">
      <c r="A294" t="inlineStr">
        <is>
          <t>36812621</t>
        </is>
      </c>
      <c r="B294" t="inlineStr">
        <is>
          <t>PRODUCTO 402767</t>
        </is>
      </c>
      <c r="C294" t="inlineStr">
        <is>
          <t>Piura</t>
        </is>
      </c>
      <c r="D294" t="inlineStr">
        <is>
          <t>30/08/2026</t>
        </is>
      </c>
      <c r="E294" t="n">
        <v>1</v>
      </c>
      <c r="F294" t="n">
        <v>0</v>
      </c>
      <c r="G294">
        <f>E7775+F7775</f>
        <v/>
      </c>
    </row>
    <row r="295">
      <c r="A295" t="inlineStr">
        <is>
          <t>36813801</t>
        </is>
      </c>
      <c r="B295" t="inlineStr">
        <is>
          <t>PRODUCTO 988B3E</t>
        </is>
      </c>
      <c r="C295" t="inlineStr">
        <is>
          <t>Miraflores</t>
        </is>
      </c>
      <c r="D295" t="inlineStr">
        <is>
          <t>30/08/2026</t>
        </is>
      </c>
      <c r="E295" t="n">
        <v>1</v>
      </c>
      <c r="F295" t="n">
        <v>0</v>
      </c>
      <c r="G295">
        <f>E7809+F7809</f>
        <v/>
      </c>
    </row>
    <row r="296">
      <c r="A296" t="inlineStr">
        <is>
          <t>36813801</t>
        </is>
      </c>
      <c r="B296" t="inlineStr">
        <is>
          <t>PRODUCTO 988B3E</t>
        </is>
      </c>
      <c r="C296" t="inlineStr">
        <is>
          <t>Piura</t>
        </is>
      </c>
      <c r="D296" t="inlineStr">
        <is>
          <t>30/08/2026</t>
        </is>
      </c>
      <c r="E296" t="n">
        <v>9</v>
      </c>
      <c r="F296" t="n">
        <v>0</v>
      </c>
      <c r="G296">
        <f>E7811+F7811</f>
        <v/>
      </c>
    </row>
    <row r="297">
      <c r="A297" t="inlineStr">
        <is>
          <t>36813956</t>
        </is>
      </c>
      <c r="B297" t="inlineStr">
        <is>
          <t>PRODUCTO 316189</t>
        </is>
      </c>
      <c r="C297" t="inlineStr">
        <is>
          <t>Miraflores</t>
        </is>
      </c>
      <c r="D297" t="inlineStr">
        <is>
          <t>30/08/2026</t>
        </is>
      </c>
      <c r="E297" t="n">
        <v>1</v>
      </c>
      <c r="F297" t="n">
        <v>0</v>
      </c>
      <c r="G297">
        <f>E7836+F7836</f>
        <v/>
      </c>
    </row>
    <row r="298">
      <c r="A298" t="inlineStr">
        <is>
          <t>36813969</t>
        </is>
      </c>
      <c r="B298" t="inlineStr">
        <is>
          <t>PRODUCTO BD5317</t>
        </is>
      </c>
      <c r="C298" t="inlineStr">
        <is>
          <t>Miraflores</t>
        </is>
      </c>
      <c r="D298" t="inlineStr">
        <is>
          <t>30/08/2026</t>
        </is>
      </c>
      <c r="E298" t="n">
        <v>1</v>
      </c>
      <c r="F298" t="n">
        <v>0</v>
      </c>
      <c r="G298">
        <f>E7839+F7839</f>
        <v/>
      </c>
    </row>
    <row r="299">
      <c r="A299" t="inlineStr">
        <is>
          <t>36814002</t>
        </is>
      </c>
      <c r="B299" t="inlineStr">
        <is>
          <t>PRODUCTO A2C698</t>
        </is>
      </c>
      <c r="C299" t="inlineStr">
        <is>
          <t>Miraflores</t>
        </is>
      </c>
      <c r="D299" t="inlineStr">
        <is>
          <t>30/08/2026</t>
        </is>
      </c>
      <c r="E299" t="n">
        <v>2</v>
      </c>
      <c r="F299" t="n">
        <v>0</v>
      </c>
      <c r="G299">
        <f>E7842+F7842</f>
        <v/>
      </c>
    </row>
    <row r="300">
      <c r="A300" t="inlineStr">
        <is>
          <t>36815457</t>
        </is>
      </c>
      <c r="B300" t="inlineStr">
        <is>
          <t>PRODUCTO 54483C</t>
        </is>
      </c>
      <c r="C300" t="inlineStr">
        <is>
          <t>Jockey Plaza</t>
        </is>
      </c>
      <c r="D300" t="inlineStr">
        <is>
          <t>30/08/2026</t>
        </is>
      </c>
      <c r="E300" t="n">
        <v>2</v>
      </c>
      <c r="F300" t="n">
        <v>0</v>
      </c>
      <c r="G300">
        <f>E7857+F7857</f>
        <v/>
      </c>
    </row>
    <row r="301">
      <c r="A301" t="inlineStr">
        <is>
          <t>36815457</t>
        </is>
      </c>
      <c r="B301" t="inlineStr">
        <is>
          <t>PRODUCTO 54483C</t>
        </is>
      </c>
      <c r="C301" t="inlineStr">
        <is>
          <t>Salaverry</t>
        </is>
      </c>
      <c r="D301" t="inlineStr">
        <is>
          <t>30/08/2026</t>
        </is>
      </c>
      <c r="E301" t="n">
        <v>5</v>
      </c>
      <c r="F301" t="n">
        <v>0</v>
      </c>
      <c r="G301">
        <f>E7858+F7858</f>
        <v/>
      </c>
    </row>
    <row r="302">
      <c r="A302" t="inlineStr">
        <is>
          <t>36815567</t>
        </is>
      </c>
      <c r="B302" t="inlineStr">
        <is>
          <t>PRODUCTO 609536</t>
        </is>
      </c>
      <c r="C302" t="inlineStr">
        <is>
          <t>San Borja</t>
        </is>
      </c>
      <c r="D302" t="inlineStr">
        <is>
          <t>30/08/2026</t>
        </is>
      </c>
      <c r="E302" t="n">
        <v>1</v>
      </c>
      <c r="F302" t="n">
        <v>0</v>
      </c>
      <c r="G302">
        <f>E7907+F7907</f>
        <v/>
      </c>
    </row>
    <row r="303">
      <c r="A303" t="inlineStr">
        <is>
          <t>36815649</t>
        </is>
      </c>
      <c r="B303" t="inlineStr">
        <is>
          <t>PRODUCTO C23D81</t>
        </is>
      </c>
      <c r="C303" t="inlineStr">
        <is>
          <t>San Miguel</t>
        </is>
      </c>
      <c r="D303" t="inlineStr">
        <is>
          <t>30/08/2026</t>
        </is>
      </c>
      <c r="E303" t="n">
        <v>2</v>
      </c>
      <c r="F303" t="n">
        <v>0</v>
      </c>
      <c r="G303">
        <f>E7930+F7930</f>
        <v/>
      </c>
    </row>
    <row r="304">
      <c r="A304" t="inlineStr">
        <is>
          <t>36826232</t>
        </is>
      </c>
      <c r="B304" t="inlineStr">
        <is>
          <t>PRODUCTO 78AC29</t>
        </is>
      </c>
      <c r="C304" t="inlineStr">
        <is>
          <t>Jockey Plaza</t>
        </is>
      </c>
      <c r="D304" t="inlineStr">
        <is>
          <t>30/08/2026</t>
        </is>
      </c>
      <c r="E304" t="n">
        <v>11</v>
      </c>
      <c r="F304" t="n">
        <v>0</v>
      </c>
      <c r="G304">
        <f>E7970+F7970</f>
        <v/>
      </c>
    </row>
    <row r="305">
      <c r="A305" t="inlineStr">
        <is>
          <t>36831587</t>
        </is>
      </c>
      <c r="B305" t="inlineStr">
        <is>
          <t>PRODUCTO 253410</t>
        </is>
      </c>
      <c r="C305" t="inlineStr">
        <is>
          <t>Jockey Plaza</t>
        </is>
      </c>
      <c r="D305" t="inlineStr">
        <is>
          <t>30/08/2026</t>
        </is>
      </c>
      <c r="E305" t="n">
        <v>20</v>
      </c>
      <c r="F305" t="n">
        <v>0</v>
      </c>
      <c r="G305">
        <f>E8031+F8031</f>
        <v/>
      </c>
    </row>
    <row r="306">
      <c r="A306" t="inlineStr">
        <is>
          <t>36831587</t>
        </is>
      </c>
      <c r="B306" t="inlineStr">
        <is>
          <t>PRODUCTO 253410</t>
        </is>
      </c>
      <c r="C306" t="inlineStr">
        <is>
          <t>Miraflores</t>
        </is>
      </c>
      <c r="D306" t="inlineStr">
        <is>
          <t>30/08/2026</t>
        </is>
      </c>
      <c r="E306" t="n">
        <v>14</v>
      </c>
      <c r="F306" t="n">
        <v>0</v>
      </c>
      <c r="G306">
        <f>E8032+F8032</f>
        <v/>
      </c>
    </row>
    <row r="307">
      <c r="A307" t="inlineStr">
        <is>
          <t>36831597</t>
        </is>
      </c>
      <c r="B307" t="inlineStr">
        <is>
          <t>PRODUCTO 825A9B</t>
        </is>
      </c>
      <c r="C307" t="inlineStr">
        <is>
          <t>Jockey Plaza</t>
        </is>
      </c>
      <c r="D307" t="inlineStr">
        <is>
          <t>30/08/2026</t>
        </is>
      </c>
      <c r="E307" t="n">
        <v>5</v>
      </c>
      <c r="F307" t="n">
        <v>0</v>
      </c>
      <c r="G307">
        <f>E8036+F8036</f>
        <v/>
      </c>
    </row>
    <row r="308">
      <c r="A308" t="inlineStr">
        <is>
          <t>36831597</t>
        </is>
      </c>
      <c r="B308" t="inlineStr">
        <is>
          <t>PRODUCTO 825A9B</t>
        </is>
      </c>
      <c r="C308" t="inlineStr">
        <is>
          <t>Miraflores</t>
        </is>
      </c>
      <c r="D308" t="inlineStr">
        <is>
          <t>30/08/2026</t>
        </is>
      </c>
      <c r="E308" t="n">
        <v>3</v>
      </c>
      <c r="F308" t="n">
        <v>0</v>
      </c>
      <c r="G308">
        <f>E8037+F8037</f>
        <v/>
      </c>
    </row>
    <row r="309">
      <c r="A309" t="inlineStr">
        <is>
          <t>36831622</t>
        </is>
      </c>
      <c r="B309" t="inlineStr">
        <is>
          <t>PRODUCTO 6C24C7</t>
        </is>
      </c>
      <c r="C309" t="inlineStr">
        <is>
          <t>Jockey Plaza</t>
        </is>
      </c>
      <c r="D309" t="inlineStr">
        <is>
          <t>30/08/2026</t>
        </is>
      </c>
      <c r="E309" t="n">
        <v>5</v>
      </c>
      <c r="F309" t="n">
        <v>0</v>
      </c>
      <c r="G309">
        <f>E8047+F8047</f>
        <v/>
      </c>
    </row>
    <row r="310">
      <c r="A310" t="inlineStr">
        <is>
          <t>36831622</t>
        </is>
      </c>
      <c r="B310" t="inlineStr">
        <is>
          <t>PRODUCTO 6C24C7</t>
        </is>
      </c>
      <c r="C310" t="inlineStr">
        <is>
          <t>Miraflores</t>
        </is>
      </c>
      <c r="D310" t="inlineStr">
        <is>
          <t>30/08/2026</t>
        </is>
      </c>
      <c r="E310" t="n">
        <v>1</v>
      </c>
      <c r="F310" t="n">
        <v>0</v>
      </c>
      <c r="G310">
        <f>E8048+F8048</f>
        <v/>
      </c>
    </row>
    <row r="311">
      <c r="A311" t="inlineStr">
        <is>
          <t>36831622</t>
        </is>
      </c>
      <c r="B311" t="inlineStr">
        <is>
          <t>PRODUCTO 6C24C7</t>
        </is>
      </c>
      <c r="C311" t="inlineStr">
        <is>
          <t>Salaverry</t>
        </is>
      </c>
      <c r="D311" t="inlineStr">
        <is>
          <t>30/08/2026</t>
        </is>
      </c>
      <c r="E311" t="n">
        <v>1</v>
      </c>
      <c r="F311" t="n">
        <v>0</v>
      </c>
      <c r="G311">
        <f>E8049+F8049</f>
        <v/>
      </c>
    </row>
    <row r="312">
      <c r="A312" t="inlineStr">
        <is>
          <t>36831726</t>
        </is>
      </c>
      <c r="B312" t="inlineStr">
        <is>
          <t>PRODUCTO B35FE9</t>
        </is>
      </c>
      <c r="C312" t="inlineStr">
        <is>
          <t>Jockey Plaza</t>
        </is>
      </c>
      <c r="D312" t="inlineStr">
        <is>
          <t>30/08/2026</t>
        </is>
      </c>
      <c r="E312" t="n">
        <v>3</v>
      </c>
      <c r="F312" t="n">
        <v>0</v>
      </c>
      <c r="G312">
        <f>E8084+F8084</f>
        <v/>
      </c>
    </row>
    <row r="313">
      <c r="A313" t="inlineStr">
        <is>
          <t>36831726</t>
        </is>
      </c>
      <c r="B313" t="inlineStr">
        <is>
          <t>PRODUCTO B35FE9</t>
        </is>
      </c>
      <c r="C313" t="inlineStr">
        <is>
          <t>Miraflores</t>
        </is>
      </c>
      <c r="D313" t="inlineStr">
        <is>
          <t>30/08/2026</t>
        </is>
      </c>
      <c r="E313" t="n">
        <v>9</v>
      </c>
      <c r="F313" t="n">
        <v>0</v>
      </c>
      <c r="G313">
        <f>E8085+F8085</f>
        <v/>
      </c>
    </row>
    <row r="314">
      <c r="A314" t="inlineStr">
        <is>
          <t>36851426</t>
        </is>
      </c>
      <c r="B314" t="inlineStr">
        <is>
          <t>PRODUCTO 344E62</t>
        </is>
      </c>
      <c r="C314" t="inlineStr">
        <is>
          <t>Jockey Plaza</t>
        </is>
      </c>
      <c r="D314" t="inlineStr">
        <is>
          <t>30/08/2026</t>
        </is>
      </c>
      <c r="E314" t="n">
        <v>9</v>
      </c>
      <c r="F314" t="n">
        <v>0</v>
      </c>
      <c r="G314">
        <f>E8110+F8110</f>
        <v/>
      </c>
    </row>
    <row r="315">
      <c r="A315" t="inlineStr">
        <is>
          <t>36851426</t>
        </is>
      </c>
      <c r="B315" t="inlineStr">
        <is>
          <t>PRODUCTO 344E62</t>
        </is>
      </c>
      <c r="C315" t="inlineStr">
        <is>
          <t>Piura</t>
        </is>
      </c>
      <c r="D315" t="inlineStr">
        <is>
          <t>30/08/2026</t>
        </is>
      </c>
      <c r="E315" t="n">
        <v>14</v>
      </c>
      <c r="F315" t="n">
        <v>0</v>
      </c>
      <c r="G315">
        <f>E8116+F8116</f>
        <v/>
      </c>
    </row>
    <row r="316">
      <c r="A316" t="inlineStr">
        <is>
          <t>36877652</t>
        </is>
      </c>
      <c r="B316" t="inlineStr">
        <is>
          <t>PRODUCTO 57493C</t>
        </is>
      </c>
      <c r="C316" t="inlineStr">
        <is>
          <t>Miraflores</t>
        </is>
      </c>
      <c r="D316" t="inlineStr">
        <is>
          <t>30/08/2026</t>
        </is>
      </c>
      <c r="E316" t="n">
        <v>-2</v>
      </c>
      <c r="F316" t="n">
        <v>0</v>
      </c>
      <c r="G316">
        <f>E8131+F8131</f>
        <v/>
      </c>
    </row>
    <row r="317">
      <c r="A317" t="inlineStr">
        <is>
          <t>36877652</t>
        </is>
      </c>
      <c r="B317" t="inlineStr">
        <is>
          <t>PRODUCTO 57493C</t>
        </is>
      </c>
      <c r="C317" t="inlineStr">
        <is>
          <t>Piura</t>
        </is>
      </c>
      <c r="D317" t="inlineStr">
        <is>
          <t>30/08/2026</t>
        </is>
      </c>
      <c r="E317" t="n">
        <v>3</v>
      </c>
      <c r="F317" t="n">
        <v>0</v>
      </c>
      <c r="G317">
        <f>E8134+F8134</f>
        <v/>
      </c>
    </row>
    <row r="318">
      <c r="A318" t="inlineStr">
        <is>
          <t>36907317</t>
        </is>
      </c>
      <c r="B318" t="inlineStr">
        <is>
          <t>PRODUCTO 45DEBE</t>
        </is>
      </c>
      <c r="C318" t="inlineStr">
        <is>
          <t>Jockey Plaza</t>
        </is>
      </c>
      <c r="D318" t="inlineStr">
        <is>
          <t>30/08/2026</t>
        </is>
      </c>
      <c r="E318" t="n">
        <v>2</v>
      </c>
      <c r="F318" t="n">
        <v>0</v>
      </c>
      <c r="G318">
        <f>E8281+F8281</f>
        <v/>
      </c>
    </row>
    <row r="319">
      <c r="A319" t="inlineStr">
        <is>
          <t>36907317</t>
        </is>
      </c>
      <c r="B319" t="inlineStr">
        <is>
          <t>PRODUCTO 45DEBE</t>
        </is>
      </c>
      <c r="C319" t="inlineStr">
        <is>
          <t>Miraflores</t>
        </is>
      </c>
      <c r="D319" t="inlineStr">
        <is>
          <t>30/08/2026</t>
        </is>
      </c>
      <c r="E319" t="n">
        <v>3</v>
      </c>
      <c r="F319" t="n">
        <v>0</v>
      </c>
      <c r="G319">
        <f>E8282+F8282</f>
        <v/>
      </c>
    </row>
    <row r="320">
      <c r="A320" t="inlineStr">
        <is>
          <t>36907317</t>
        </is>
      </c>
      <c r="B320" t="inlineStr">
        <is>
          <t>PRODUCTO 45DEBE</t>
        </is>
      </c>
      <c r="C320" t="inlineStr">
        <is>
          <t>Salaverry</t>
        </is>
      </c>
      <c r="D320" t="inlineStr">
        <is>
          <t>30/08/2026</t>
        </is>
      </c>
      <c r="E320" t="n">
        <v>3</v>
      </c>
      <c r="F320" t="n">
        <v>0</v>
      </c>
      <c r="G320">
        <f>E8285+F8285</f>
        <v/>
      </c>
    </row>
    <row r="321">
      <c r="A321" t="inlineStr">
        <is>
          <t>36907376</t>
        </is>
      </c>
      <c r="B321" t="inlineStr">
        <is>
          <t>PRODUCTO 58CDEC</t>
        </is>
      </c>
      <c r="C321" t="inlineStr">
        <is>
          <t>Salaverry</t>
        </is>
      </c>
      <c r="D321" t="inlineStr">
        <is>
          <t>30/08/2026</t>
        </is>
      </c>
      <c r="E321" t="n">
        <v>7</v>
      </c>
      <c r="F321" t="n">
        <v>0</v>
      </c>
      <c r="G321">
        <f>E8319+F8319</f>
        <v/>
      </c>
    </row>
    <row r="322">
      <c r="A322" t="inlineStr">
        <is>
          <t>36907376</t>
        </is>
      </c>
      <c r="B322" t="inlineStr">
        <is>
          <t>PRODUCTO 58CDEC</t>
        </is>
      </c>
      <c r="C322" t="inlineStr">
        <is>
          <t>San Borja</t>
        </is>
      </c>
      <c r="D322" t="inlineStr">
        <is>
          <t>30/08/2026</t>
        </is>
      </c>
      <c r="E322" t="n">
        <v>3</v>
      </c>
      <c r="F322" t="n">
        <v>0</v>
      </c>
      <c r="G322">
        <f>E8320+F8320</f>
        <v/>
      </c>
    </row>
    <row r="323">
      <c r="A323" t="inlineStr">
        <is>
          <t>36908647</t>
        </is>
      </c>
      <c r="B323" t="inlineStr">
        <is>
          <t>PRODUCTO 9CAA97</t>
        </is>
      </c>
      <c r="C323" t="inlineStr">
        <is>
          <t>Jockey Plaza</t>
        </is>
      </c>
      <c r="D323" t="inlineStr">
        <is>
          <t>30/08/2026</t>
        </is>
      </c>
      <c r="E323" t="n">
        <v>22</v>
      </c>
      <c r="F323" t="n">
        <v>0</v>
      </c>
      <c r="G323">
        <f>E8431+F8431</f>
        <v/>
      </c>
    </row>
    <row r="324">
      <c r="A324" t="inlineStr">
        <is>
          <t>36908647</t>
        </is>
      </c>
      <c r="B324" t="inlineStr">
        <is>
          <t>PRODUCTO 9CAA97</t>
        </is>
      </c>
      <c r="C324" t="inlineStr">
        <is>
          <t>San Miguel</t>
        </is>
      </c>
      <c r="D324" t="inlineStr">
        <is>
          <t>30/08/2026</t>
        </is>
      </c>
      <c r="E324" t="n">
        <v>12</v>
      </c>
      <c r="F324" t="n">
        <v>0</v>
      </c>
      <c r="G324">
        <f>E8432+F8432</f>
        <v/>
      </c>
    </row>
    <row r="325">
      <c r="A325" t="inlineStr">
        <is>
          <t>36908647</t>
        </is>
      </c>
      <c r="B325" t="inlineStr">
        <is>
          <t>PRODUCTO 9CAA97</t>
        </is>
      </c>
      <c r="C325" t="inlineStr">
        <is>
          <t>Miraflores</t>
        </is>
      </c>
      <c r="D325" t="inlineStr">
        <is>
          <t>30/08/2026</t>
        </is>
      </c>
      <c r="E325" t="n">
        <v>9</v>
      </c>
      <c r="F325" t="n">
        <v>0</v>
      </c>
      <c r="G325">
        <f>E8433+F8433</f>
        <v/>
      </c>
    </row>
    <row r="326">
      <c r="A326" t="inlineStr">
        <is>
          <t>36908647</t>
        </is>
      </c>
      <c r="B326" t="inlineStr">
        <is>
          <t>PRODUCTO 9CAA97</t>
        </is>
      </c>
      <c r="C326" t="inlineStr">
        <is>
          <t>San Borja</t>
        </is>
      </c>
      <c r="D326" t="inlineStr">
        <is>
          <t>30/08/2026</t>
        </is>
      </c>
      <c r="E326" t="n">
        <v>12</v>
      </c>
      <c r="F326" t="n">
        <v>0</v>
      </c>
      <c r="G326">
        <f>E8440+F8440</f>
        <v/>
      </c>
    </row>
    <row r="327">
      <c r="A327" t="inlineStr">
        <is>
          <t>36908647</t>
        </is>
      </c>
      <c r="B327" t="inlineStr">
        <is>
          <t>PRODUCTO 9CAA97</t>
        </is>
      </c>
      <c r="C327" t="inlineStr">
        <is>
          <t>Piura</t>
        </is>
      </c>
      <c r="D327" t="inlineStr">
        <is>
          <t>30/08/2026</t>
        </is>
      </c>
      <c r="E327" t="n">
        <v>14</v>
      </c>
      <c r="F327" t="n">
        <v>0</v>
      </c>
      <c r="G327">
        <f>E8443+F8443</f>
        <v/>
      </c>
    </row>
    <row r="328">
      <c r="A328" t="inlineStr">
        <is>
          <t>36985057</t>
        </is>
      </c>
      <c r="B328" t="inlineStr">
        <is>
          <t>PRODUCTO 95F0BD</t>
        </is>
      </c>
      <c r="C328" t="inlineStr">
        <is>
          <t>Jockey Plaza</t>
        </is>
      </c>
      <c r="D328" t="inlineStr">
        <is>
          <t>30/08/2026</t>
        </is>
      </c>
      <c r="E328" t="n">
        <v>1</v>
      </c>
      <c r="F328" t="n">
        <v>0</v>
      </c>
      <c r="G328">
        <f>E8539+F8539</f>
        <v/>
      </c>
    </row>
    <row r="329">
      <c r="A329" t="inlineStr">
        <is>
          <t>36985057</t>
        </is>
      </c>
      <c r="B329" t="inlineStr">
        <is>
          <t>PRODUCTO 95F0BD</t>
        </is>
      </c>
      <c r="C329" t="inlineStr">
        <is>
          <t>San Miguel</t>
        </is>
      </c>
      <c r="D329" t="inlineStr">
        <is>
          <t>30/08/2026</t>
        </is>
      </c>
      <c r="E329" t="n">
        <v>1</v>
      </c>
      <c r="F329" t="n">
        <v>0</v>
      </c>
      <c r="G329">
        <f>E8540+F8540</f>
        <v/>
      </c>
    </row>
    <row r="330">
      <c r="A330" t="inlineStr">
        <is>
          <t>36985057</t>
        </is>
      </c>
      <c r="B330" t="inlineStr">
        <is>
          <t>PRODUCTO 95F0BD</t>
        </is>
      </c>
      <c r="C330" t="inlineStr">
        <is>
          <t>Miraflores</t>
        </is>
      </c>
      <c r="D330" t="inlineStr">
        <is>
          <t>30/08/2026</t>
        </is>
      </c>
      <c r="E330" t="n">
        <v>4</v>
      </c>
      <c r="F330" t="n">
        <v>0</v>
      </c>
      <c r="G330">
        <f>E8541+F8541</f>
        <v/>
      </c>
    </row>
    <row r="331">
      <c r="A331" t="inlineStr">
        <is>
          <t>36985057</t>
        </is>
      </c>
      <c r="B331" t="inlineStr">
        <is>
          <t>PRODUCTO 95F0BD</t>
        </is>
      </c>
      <c r="C331" t="inlineStr">
        <is>
          <t>Salaverry</t>
        </is>
      </c>
      <c r="D331" t="inlineStr">
        <is>
          <t>30/08/2026</t>
        </is>
      </c>
      <c r="E331" t="n">
        <v>6</v>
      </c>
      <c r="F331" t="n">
        <v>0</v>
      </c>
      <c r="G331">
        <f>E8545+F8545</f>
        <v/>
      </c>
    </row>
    <row r="332">
      <c r="A332" t="inlineStr">
        <is>
          <t>36985057</t>
        </is>
      </c>
      <c r="B332" t="inlineStr">
        <is>
          <t>PRODUCTO 95F0BD</t>
        </is>
      </c>
      <c r="C332" t="inlineStr">
        <is>
          <t>San Borja</t>
        </is>
      </c>
      <c r="D332" t="inlineStr">
        <is>
          <t>30/08/2026</t>
        </is>
      </c>
      <c r="E332" t="n">
        <v>4</v>
      </c>
      <c r="F332" t="n">
        <v>0</v>
      </c>
      <c r="G332">
        <f>E8546+F8546</f>
        <v/>
      </c>
    </row>
    <row r="333">
      <c r="A333" t="inlineStr">
        <is>
          <t>37003577</t>
        </is>
      </c>
      <c r="B333" t="inlineStr">
        <is>
          <t>PRODUCTO 5CE6E8</t>
        </is>
      </c>
      <c r="C333" t="inlineStr">
        <is>
          <t>Jockey Plaza</t>
        </is>
      </c>
      <c r="D333" t="inlineStr">
        <is>
          <t>30/08/2026</t>
        </is>
      </c>
      <c r="E333" t="n">
        <v>1</v>
      </c>
      <c r="F333" t="n">
        <v>0</v>
      </c>
      <c r="G333">
        <f>E8580+F8580</f>
        <v/>
      </c>
    </row>
    <row r="334">
      <c r="A334" t="inlineStr">
        <is>
          <t>37003577</t>
        </is>
      </c>
      <c r="B334" t="inlineStr">
        <is>
          <t>PRODUCTO 5CE6E8</t>
        </is>
      </c>
      <c r="C334" t="inlineStr">
        <is>
          <t>Miraflores</t>
        </is>
      </c>
      <c r="D334" t="inlineStr">
        <is>
          <t>30/08/2026</t>
        </is>
      </c>
      <c r="E334" t="n">
        <v>17</v>
      </c>
      <c r="F334" t="n">
        <v>1</v>
      </c>
      <c r="G334">
        <f>E8581+F8581</f>
        <v/>
      </c>
    </row>
    <row r="335">
      <c r="A335" t="inlineStr">
        <is>
          <t>37003577</t>
        </is>
      </c>
      <c r="B335" t="inlineStr">
        <is>
          <t>PRODUCTO 5CE6E8</t>
        </is>
      </c>
      <c r="C335" t="inlineStr">
        <is>
          <t>Salaverry</t>
        </is>
      </c>
      <c r="D335" t="inlineStr">
        <is>
          <t>30/08/2026</t>
        </is>
      </c>
      <c r="E335" t="n">
        <v>11</v>
      </c>
      <c r="F335" t="n">
        <v>0</v>
      </c>
      <c r="G335">
        <f>E8585+F8585</f>
        <v/>
      </c>
    </row>
    <row r="336">
      <c r="A336" t="inlineStr">
        <is>
          <t>37003577</t>
        </is>
      </c>
      <c r="B336" t="inlineStr">
        <is>
          <t>PRODUCTO 5CE6E8</t>
        </is>
      </c>
      <c r="C336" t="inlineStr">
        <is>
          <t>San Borja</t>
        </is>
      </c>
      <c r="D336" t="inlineStr">
        <is>
          <t>30/08/2026</t>
        </is>
      </c>
      <c r="E336" t="n">
        <v>1</v>
      </c>
      <c r="F336" t="n">
        <v>0</v>
      </c>
      <c r="G336">
        <f>E8586+F8586</f>
        <v/>
      </c>
    </row>
    <row r="337">
      <c r="A337" t="inlineStr">
        <is>
          <t>37004704</t>
        </is>
      </c>
      <c r="B337" t="inlineStr">
        <is>
          <t>PRODUCTO BB31A0</t>
        </is>
      </c>
      <c r="C337" t="inlineStr">
        <is>
          <t>Jockey Plaza</t>
        </is>
      </c>
      <c r="D337" t="inlineStr">
        <is>
          <t>30/08/2026</t>
        </is>
      </c>
      <c r="E337" t="n">
        <v>3</v>
      </c>
      <c r="F337" t="n">
        <v>0</v>
      </c>
      <c r="G337">
        <f>E8632+F8632</f>
        <v/>
      </c>
    </row>
    <row r="338">
      <c r="A338" t="inlineStr">
        <is>
          <t>37004704</t>
        </is>
      </c>
      <c r="B338" t="inlineStr">
        <is>
          <t>PRODUCTO BB31A0</t>
        </is>
      </c>
      <c r="C338" t="inlineStr">
        <is>
          <t>San Miguel</t>
        </is>
      </c>
      <c r="D338" t="inlineStr">
        <is>
          <t>30/08/2026</t>
        </is>
      </c>
      <c r="E338" t="n">
        <v>6</v>
      </c>
      <c r="F338" t="n">
        <v>0</v>
      </c>
      <c r="G338">
        <f>E8633+F8633</f>
        <v/>
      </c>
    </row>
    <row r="339">
      <c r="A339" t="inlineStr">
        <is>
          <t>37004704</t>
        </is>
      </c>
      <c r="B339" t="inlineStr">
        <is>
          <t>PRODUCTO BB31A0</t>
        </is>
      </c>
      <c r="C339" t="inlineStr">
        <is>
          <t>Miraflores</t>
        </is>
      </c>
      <c r="D339" t="inlineStr">
        <is>
          <t>30/08/2026</t>
        </is>
      </c>
      <c r="E339" t="n">
        <v>5</v>
      </c>
      <c r="F339" t="n">
        <v>0</v>
      </c>
      <c r="G339">
        <f>E8634+F8634</f>
        <v/>
      </c>
    </row>
    <row r="340">
      <c r="A340" t="inlineStr">
        <is>
          <t>37004704</t>
        </is>
      </c>
      <c r="B340" t="inlineStr">
        <is>
          <t>PRODUCTO BB31A0</t>
        </is>
      </c>
      <c r="C340" t="inlineStr">
        <is>
          <t>Salaverry</t>
        </is>
      </c>
      <c r="D340" t="inlineStr">
        <is>
          <t>30/08/2026</t>
        </is>
      </c>
      <c r="E340" t="n">
        <v>18</v>
      </c>
      <c r="F340" t="n">
        <v>0</v>
      </c>
      <c r="G340">
        <f>E8638+F8638</f>
        <v/>
      </c>
    </row>
    <row r="341">
      <c r="A341" t="inlineStr">
        <is>
          <t>37004704</t>
        </is>
      </c>
      <c r="B341" t="inlineStr">
        <is>
          <t>PRODUCTO BB31A0</t>
        </is>
      </c>
      <c r="C341" t="inlineStr">
        <is>
          <t>San Borja</t>
        </is>
      </c>
      <c r="D341" t="inlineStr">
        <is>
          <t>30/08/2026</t>
        </is>
      </c>
      <c r="E341" t="n">
        <v>26</v>
      </c>
      <c r="F341" t="n">
        <v>0</v>
      </c>
      <c r="G341">
        <f>E8639+F8639</f>
        <v/>
      </c>
    </row>
    <row r="342">
      <c r="A342" t="inlineStr">
        <is>
          <t>37004919</t>
        </is>
      </c>
      <c r="B342" t="inlineStr">
        <is>
          <t>PRODUCTO BBF137</t>
        </is>
      </c>
      <c r="C342" t="inlineStr">
        <is>
          <t>San Miguel</t>
        </is>
      </c>
      <c r="D342" t="inlineStr">
        <is>
          <t>30/08/2026</t>
        </is>
      </c>
      <c r="E342" t="n">
        <v>5</v>
      </c>
      <c r="F342" t="n">
        <v>0</v>
      </c>
      <c r="G342">
        <f>E8668+F8668</f>
        <v/>
      </c>
    </row>
    <row r="343">
      <c r="A343" t="inlineStr">
        <is>
          <t>37004919</t>
        </is>
      </c>
      <c r="B343" t="inlineStr">
        <is>
          <t>PRODUCTO BBF137</t>
        </is>
      </c>
      <c r="C343" t="inlineStr">
        <is>
          <t>Miraflores</t>
        </is>
      </c>
      <c r="D343" t="inlineStr">
        <is>
          <t>30/08/2026</t>
        </is>
      </c>
      <c r="E343" t="n">
        <v>17</v>
      </c>
      <c r="F343" t="n">
        <v>0</v>
      </c>
      <c r="G343">
        <f>E8669+F8669</f>
        <v/>
      </c>
    </row>
    <row r="344">
      <c r="A344" t="inlineStr">
        <is>
          <t>37017350</t>
        </is>
      </c>
      <c r="B344" t="inlineStr">
        <is>
          <t>PRODUCTO DC6F81</t>
        </is>
      </c>
      <c r="C344" t="inlineStr">
        <is>
          <t>Jockey Plaza</t>
        </is>
      </c>
      <c r="D344" t="inlineStr">
        <is>
          <t>30/08/2026</t>
        </is>
      </c>
      <c r="E344" t="n">
        <v>3</v>
      </c>
      <c r="F344" t="n">
        <v>0</v>
      </c>
      <c r="G344">
        <f>E8687+F8687</f>
        <v/>
      </c>
    </row>
    <row r="345">
      <c r="A345" t="inlineStr">
        <is>
          <t>37017350</t>
        </is>
      </c>
      <c r="B345" t="inlineStr">
        <is>
          <t>PRODUCTO DC6F81</t>
        </is>
      </c>
      <c r="C345" t="inlineStr">
        <is>
          <t>San Miguel</t>
        </is>
      </c>
      <c r="D345" t="inlineStr">
        <is>
          <t>30/08/2026</t>
        </is>
      </c>
      <c r="E345" t="n">
        <v>6</v>
      </c>
      <c r="F345" t="n">
        <v>0</v>
      </c>
      <c r="G345">
        <f>E8688+F8688</f>
        <v/>
      </c>
    </row>
    <row r="346">
      <c r="A346" t="inlineStr">
        <is>
          <t>37018153</t>
        </is>
      </c>
      <c r="B346" t="inlineStr">
        <is>
          <t>PRODUCTO F45A11</t>
        </is>
      </c>
      <c r="C346" t="inlineStr">
        <is>
          <t>Jockey Plaza</t>
        </is>
      </c>
      <c r="D346" t="inlineStr">
        <is>
          <t>30/08/2026</t>
        </is>
      </c>
      <c r="E346" t="n">
        <v>31</v>
      </c>
      <c r="F346" t="n">
        <v>0</v>
      </c>
      <c r="G346">
        <f>E8706+F8706</f>
        <v/>
      </c>
    </row>
    <row r="347">
      <c r="A347" t="inlineStr">
        <is>
          <t>37018153</t>
        </is>
      </c>
      <c r="B347" t="inlineStr">
        <is>
          <t>PRODUCTO F45A11</t>
        </is>
      </c>
      <c r="C347" t="inlineStr">
        <is>
          <t>San Miguel</t>
        </is>
      </c>
      <c r="D347" t="inlineStr">
        <is>
          <t>30/08/2026</t>
        </is>
      </c>
      <c r="E347" t="n">
        <v>34</v>
      </c>
      <c r="F347" t="n">
        <v>0</v>
      </c>
      <c r="G347">
        <f>E8707+F8707</f>
        <v/>
      </c>
    </row>
    <row r="348">
      <c r="A348" t="inlineStr">
        <is>
          <t>37018153</t>
        </is>
      </c>
      <c r="B348" t="inlineStr">
        <is>
          <t>PRODUCTO F45A11</t>
        </is>
      </c>
      <c r="C348" t="inlineStr">
        <is>
          <t>Miraflores</t>
        </is>
      </c>
      <c r="D348" t="inlineStr">
        <is>
          <t>30/08/2026</t>
        </is>
      </c>
      <c r="E348" t="n">
        <v>18</v>
      </c>
      <c r="F348" t="n">
        <v>0</v>
      </c>
      <c r="G348">
        <f>E8708+F8708</f>
        <v/>
      </c>
    </row>
    <row r="349">
      <c r="A349" t="inlineStr">
        <is>
          <t>37018153</t>
        </is>
      </c>
      <c r="B349" t="inlineStr">
        <is>
          <t>PRODUCTO F45A11</t>
        </is>
      </c>
      <c r="C349" t="inlineStr">
        <is>
          <t>Salaverry</t>
        </is>
      </c>
      <c r="D349" t="inlineStr">
        <is>
          <t>30/08/2026</t>
        </is>
      </c>
      <c r="E349" t="n">
        <v>28</v>
      </c>
      <c r="F349" t="n">
        <v>0</v>
      </c>
      <c r="G349">
        <f>E8716+F8716</f>
        <v/>
      </c>
    </row>
    <row r="350">
      <c r="A350" t="inlineStr">
        <is>
          <t>37018153</t>
        </is>
      </c>
      <c r="B350" t="inlineStr">
        <is>
          <t>PRODUCTO F45A11</t>
        </is>
      </c>
      <c r="C350" t="inlineStr">
        <is>
          <t>San Borja</t>
        </is>
      </c>
      <c r="D350" t="inlineStr">
        <is>
          <t>30/08/2026</t>
        </is>
      </c>
      <c r="E350" t="n">
        <v>18</v>
      </c>
      <c r="F350" t="n">
        <v>0</v>
      </c>
      <c r="G350">
        <f>E8717+F8717</f>
        <v/>
      </c>
    </row>
    <row r="351">
      <c r="A351" t="inlineStr">
        <is>
          <t>37018153</t>
        </is>
      </c>
      <c r="B351" t="inlineStr">
        <is>
          <t>PRODUCTO F45A11</t>
        </is>
      </c>
      <c r="C351" t="inlineStr">
        <is>
          <t>Piura</t>
        </is>
      </c>
      <c r="D351" t="inlineStr">
        <is>
          <t>30/08/2026</t>
        </is>
      </c>
      <c r="E351" t="n">
        <v>1</v>
      </c>
      <c r="F351" t="n">
        <v>0</v>
      </c>
      <c r="G351">
        <f>E8722+F8722</f>
        <v/>
      </c>
    </row>
    <row r="352">
      <c r="A352" t="inlineStr">
        <is>
          <t>37018164</t>
        </is>
      </c>
      <c r="B352" t="inlineStr">
        <is>
          <t>PRODUCTO F21581</t>
        </is>
      </c>
      <c r="C352" t="inlineStr">
        <is>
          <t>Jockey Plaza</t>
        </is>
      </c>
      <c r="D352" t="inlineStr">
        <is>
          <t>30/08/2026</t>
        </is>
      </c>
      <c r="E352" t="n">
        <v>1</v>
      </c>
      <c r="F352" t="n">
        <v>0</v>
      </c>
      <c r="G352">
        <f>E8729+F8729</f>
        <v/>
      </c>
    </row>
    <row r="353">
      <c r="A353" t="inlineStr">
        <is>
          <t>37018164</t>
        </is>
      </c>
      <c r="B353" t="inlineStr">
        <is>
          <t>PRODUCTO F21581</t>
        </is>
      </c>
      <c r="C353" t="inlineStr">
        <is>
          <t>San Miguel</t>
        </is>
      </c>
      <c r="D353" t="inlineStr">
        <is>
          <t>30/08/2026</t>
        </is>
      </c>
      <c r="E353" t="n">
        <v>3</v>
      </c>
      <c r="F353" t="n">
        <v>0</v>
      </c>
      <c r="G353">
        <f>E8730+F8730</f>
        <v/>
      </c>
    </row>
    <row r="354">
      <c r="A354" t="inlineStr">
        <is>
          <t>37018164</t>
        </is>
      </c>
      <c r="B354" t="inlineStr">
        <is>
          <t>PRODUCTO F21581</t>
        </is>
      </c>
      <c r="C354" t="inlineStr">
        <is>
          <t>Miraflores</t>
        </is>
      </c>
      <c r="D354" t="inlineStr">
        <is>
          <t>30/08/2026</t>
        </is>
      </c>
      <c r="E354" t="n">
        <v>3</v>
      </c>
      <c r="F354" t="n">
        <v>0</v>
      </c>
      <c r="G354">
        <f>E8731+F8731</f>
        <v/>
      </c>
    </row>
    <row r="355">
      <c r="A355" t="inlineStr">
        <is>
          <t>37018164</t>
        </is>
      </c>
      <c r="B355" t="inlineStr">
        <is>
          <t>PRODUCTO F21581</t>
        </is>
      </c>
      <c r="C355" t="inlineStr">
        <is>
          <t>Salaverry</t>
        </is>
      </c>
      <c r="D355" t="inlineStr">
        <is>
          <t>30/08/2026</t>
        </is>
      </c>
      <c r="E355" t="n">
        <v>5</v>
      </c>
      <c r="F355" t="n">
        <v>0</v>
      </c>
      <c r="G355">
        <f>E8740+F8740</f>
        <v/>
      </c>
    </row>
    <row r="356">
      <c r="A356" t="inlineStr">
        <is>
          <t>37018164</t>
        </is>
      </c>
      <c r="B356" t="inlineStr">
        <is>
          <t>PRODUCTO F21581</t>
        </is>
      </c>
      <c r="C356" t="inlineStr">
        <is>
          <t>San Borja</t>
        </is>
      </c>
      <c r="D356" t="inlineStr">
        <is>
          <t>30/08/2026</t>
        </is>
      </c>
      <c r="E356" t="n">
        <v>2</v>
      </c>
      <c r="F356" t="n">
        <v>0</v>
      </c>
      <c r="G356">
        <f>E8741+F8741</f>
        <v/>
      </c>
    </row>
    <row r="357">
      <c r="A357" t="inlineStr">
        <is>
          <t>37018331</t>
        </is>
      </c>
      <c r="B357" t="inlineStr">
        <is>
          <t>PRODUCTO 796CF0</t>
        </is>
      </c>
      <c r="C357" t="inlineStr">
        <is>
          <t>Jockey Plaza</t>
        </is>
      </c>
      <c r="D357" t="inlineStr">
        <is>
          <t>30/08/2026</t>
        </is>
      </c>
      <c r="E357" t="n">
        <v>10</v>
      </c>
      <c r="F357" t="n">
        <v>0</v>
      </c>
      <c r="G357">
        <f>E8811+F8811</f>
        <v/>
      </c>
    </row>
    <row r="358">
      <c r="A358" t="inlineStr">
        <is>
          <t>37018331</t>
        </is>
      </c>
      <c r="B358" t="inlineStr">
        <is>
          <t>PRODUCTO 796CF0</t>
        </is>
      </c>
      <c r="C358" t="inlineStr">
        <is>
          <t>San Miguel</t>
        </is>
      </c>
      <c r="D358" t="inlineStr">
        <is>
          <t>30/08/2026</t>
        </is>
      </c>
      <c r="E358" t="n">
        <v>20</v>
      </c>
      <c r="F358" t="n">
        <v>0</v>
      </c>
      <c r="G358">
        <f>E8812+F8812</f>
        <v/>
      </c>
    </row>
    <row r="359">
      <c r="A359" t="inlineStr">
        <is>
          <t>37018331</t>
        </is>
      </c>
      <c r="B359" t="inlineStr">
        <is>
          <t>PRODUCTO 796CF0</t>
        </is>
      </c>
      <c r="C359" t="inlineStr">
        <is>
          <t>Miraflores</t>
        </is>
      </c>
      <c r="D359" t="inlineStr">
        <is>
          <t>30/08/2026</t>
        </is>
      </c>
      <c r="E359" t="n">
        <v>22</v>
      </c>
      <c r="F359" t="n">
        <v>0</v>
      </c>
      <c r="G359">
        <f>E8813+F8813</f>
        <v/>
      </c>
    </row>
    <row r="360">
      <c r="A360" t="inlineStr">
        <is>
          <t>37018331</t>
        </is>
      </c>
      <c r="B360" t="inlineStr">
        <is>
          <t>PRODUCTO 796CF0</t>
        </is>
      </c>
      <c r="C360" t="inlineStr">
        <is>
          <t>Salaverry</t>
        </is>
      </c>
      <c r="D360" t="inlineStr">
        <is>
          <t>30/08/2026</t>
        </is>
      </c>
      <c r="E360" t="n">
        <v>23</v>
      </c>
      <c r="F360" t="n">
        <v>0</v>
      </c>
      <c r="G360">
        <f>E8817+F8817</f>
        <v/>
      </c>
    </row>
    <row r="361">
      <c r="A361" t="inlineStr">
        <is>
          <t>37018331</t>
        </is>
      </c>
      <c r="B361" t="inlineStr">
        <is>
          <t>PRODUCTO 796CF0</t>
        </is>
      </c>
      <c r="C361" t="inlineStr">
        <is>
          <t>San Borja</t>
        </is>
      </c>
      <c r="D361" t="inlineStr">
        <is>
          <t>30/08/2026</t>
        </is>
      </c>
      <c r="E361" t="n">
        <v>14</v>
      </c>
      <c r="F361" t="n">
        <v>0</v>
      </c>
      <c r="G361">
        <f>E8818+F8818</f>
        <v/>
      </c>
    </row>
    <row r="362">
      <c r="A362" t="inlineStr">
        <is>
          <t>37018388</t>
        </is>
      </c>
      <c r="B362" t="inlineStr">
        <is>
          <t>PRODUCTO 30C080</t>
        </is>
      </c>
      <c r="C362" t="inlineStr">
        <is>
          <t>Jockey Plaza</t>
        </is>
      </c>
      <c r="D362" t="inlineStr">
        <is>
          <t>30/08/2026</t>
        </is>
      </c>
      <c r="E362" t="n">
        <v>14</v>
      </c>
      <c r="F362" t="n">
        <v>0</v>
      </c>
      <c r="G362">
        <f>E8848+F8848</f>
        <v/>
      </c>
    </row>
    <row r="363">
      <c r="A363" t="inlineStr">
        <is>
          <t>37018388</t>
        </is>
      </c>
      <c r="B363" t="inlineStr">
        <is>
          <t>PRODUCTO 30C080</t>
        </is>
      </c>
      <c r="C363" t="inlineStr">
        <is>
          <t>San Miguel</t>
        </is>
      </c>
      <c r="D363" t="inlineStr">
        <is>
          <t>30/08/2026</t>
        </is>
      </c>
      <c r="E363" t="n">
        <v>9</v>
      </c>
      <c r="F363" t="n">
        <v>0</v>
      </c>
      <c r="G363">
        <f>E8849+F8849</f>
        <v/>
      </c>
    </row>
    <row r="364">
      <c r="A364" t="inlineStr">
        <is>
          <t>37018388</t>
        </is>
      </c>
      <c r="B364" t="inlineStr">
        <is>
          <t>PRODUCTO 30C080</t>
        </is>
      </c>
      <c r="C364" t="inlineStr">
        <is>
          <t>Miraflores</t>
        </is>
      </c>
      <c r="D364" t="inlineStr">
        <is>
          <t>30/08/2026</t>
        </is>
      </c>
      <c r="E364" t="n">
        <v>12</v>
      </c>
      <c r="F364" t="n">
        <v>0</v>
      </c>
      <c r="G364">
        <f>E8850+F8850</f>
        <v/>
      </c>
    </row>
    <row r="365">
      <c r="A365" t="inlineStr">
        <is>
          <t>37018388</t>
        </is>
      </c>
      <c r="B365" t="inlineStr">
        <is>
          <t>PRODUCTO 30C080</t>
        </is>
      </c>
      <c r="C365" t="inlineStr">
        <is>
          <t>Salaverry</t>
        </is>
      </c>
      <c r="D365" t="inlineStr">
        <is>
          <t>30/08/2026</t>
        </is>
      </c>
      <c r="E365" t="n">
        <v>6</v>
      </c>
      <c r="F365" t="n">
        <v>0</v>
      </c>
      <c r="G365">
        <f>E8855+F8855</f>
        <v/>
      </c>
    </row>
    <row r="366">
      <c r="A366" t="inlineStr">
        <is>
          <t>37018388</t>
        </is>
      </c>
      <c r="B366" t="inlineStr">
        <is>
          <t>PRODUCTO 30C080</t>
        </is>
      </c>
      <c r="C366" t="inlineStr">
        <is>
          <t>San Borja</t>
        </is>
      </c>
      <c r="D366" t="inlineStr">
        <is>
          <t>30/08/2026</t>
        </is>
      </c>
      <c r="E366" t="n">
        <v>8</v>
      </c>
      <c r="F366" t="n">
        <v>0</v>
      </c>
      <c r="G366">
        <f>E8856+F8856</f>
        <v/>
      </c>
    </row>
    <row r="367">
      <c r="A367" t="inlineStr">
        <is>
          <t>37018438</t>
        </is>
      </c>
      <c r="B367" t="inlineStr">
        <is>
          <t>PRODUCTO 4749C0</t>
        </is>
      </c>
      <c r="C367" t="inlineStr">
        <is>
          <t>Jockey Plaza</t>
        </is>
      </c>
      <c r="D367" t="inlineStr">
        <is>
          <t>30/08/2026</t>
        </is>
      </c>
      <c r="E367" t="n">
        <v>87</v>
      </c>
      <c r="F367" t="n">
        <v>0</v>
      </c>
      <c r="G367">
        <f>E8873+F8873</f>
        <v/>
      </c>
    </row>
    <row r="368">
      <c r="A368" t="inlineStr">
        <is>
          <t>37018438</t>
        </is>
      </c>
      <c r="B368" t="inlineStr">
        <is>
          <t>PRODUCTO 4749C0</t>
        </is>
      </c>
      <c r="C368" t="inlineStr">
        <is>
          <t>San Miguel</t>
        </is>
      </c>
      <c r="D368" t="inlineStr">
        <is>
          <t>30/08/2026</t>
        </is>
      </c>
      <c r="E368" t="n">
        <v>39</v>
      </c>
      <c r="F368" t="n">
        <v>0</v>
      </c>
      <c r="G368">
        <f>E8874+F8874</f>
        <v/>
      </c>
    </row>
    <row r="369">
      <c r="A369" t="inlineStr">
        <is>
          <t>37018438</t>
        </is>
      </c>
      <c r="B369" t="inlineStr">
        <is>
          <t>PRODUCTO 4749C0</t>
        </is>
      </c>
      <c r="C369" t="inlineStr">
        <is>
          <t>Miraflores</t>
        </is>
      </c>
      <c r="D369" t="inlineStr">
        <is>
          <t>30/08/2026</t>
        </is>
      </c>
      <c r="E369" t="n">
        <v>43</v>
      </c>
      <c r="F369" t="n">
        <v>1</v>
      </c>
      <c r="G369">
        <f>E8875+F8875</f>
        <v/>
      </c>
    </row>
    <row r="370">
      <c r="A370" t="inlineStr">
        <is>
          <t>37018438</t>
        </is>
      </c>
      <c r="B370" t="inlineStr">
        <is>
          <t>PRODUCTO 4749C0</t>
        </is>
      </c>
      <c r="C370" t="inlineStr">
        <is>
          <t>Salaverry</t>
        </is>
      </c>
      <c r="D370" t="inlineStr">
        <is>
          <t>30/08/2026</t>
        </is>
      </c>
      <c r="E370" t="n">
        <v>35</v>
      </c>
      <c r="F370" t="n">
        <v>0</v>
      </c>
      <c r="G370">
        <f>E8879+F8879</f>
        <v/>
      </c>
    </row>
    <row r="371">
      <c r="A371" t="inlineStr">
        <is>
          <t>37018438</t>
        </is>
      </c>
      <c r="B371" t="inlineStr">
        <is>
          <t>PRODUCTO 4749C0</t>
        </is>
      </c>
      <c r="C371" t="inlineStr">
        <is>
          <t>San Borja</t>
        </is>
      </c>
      <c r="D371" t="inlineStr">
        <is>
          <t>30/08/2026</t>
        </is>
      </c>
      <c r="E371" t="n">
        <v>35</v>
      </c>
      <c r="F371" t="n">
        <v>0</v>
      </c>
      <c r="G371">
        <f>E8880+F8880</f>
        <v/>
      </c>
    </row>
    <row r="372">
      <c r="A372" t="inlineStr">
        <is>
          <t>37027682</t>
        </is>
      </c>
      <c r="B372" t="inlineStr">
        <is>
          <t>PRODUCTO 85E2A9</t>
        </is>
      </c>
      <c r="C372" t="inlineStr">
        <is>
          <t>Jockey Plaza</t>
        </is>
      </c>
      <c r="D372" t="inlineStr">
        <is>
          <t>30/08/2026</t>
        </is>
      </c>
      <c r="E372" t="n">
        <v>24</v>
      </c>
      <c r="F372" t="n">
        <v>0</v>
      </c>
      <c r="G372">
        <f>E8995+F8995</f>
        <v/>
      </c>
    </row>
    <row r="373">
      <c r="A373" t="inlineStr">
        <is>
          <t>37027682</t>
        </is>
      </c>
      <c r="B373" t="inlineStr">
        <is>
          <t>PRODUCTO 85E2A9</t>
        </is>
      </c>
      <c r="C373" t="inlineStr">
        <is>
          <t>San Miguel</t>
        </is>
      </c>
      <c r="D373" t="inlineStr">
        <is>
          <t>30/08/2026</t>
        </is>
      </c>
      <c r="E373" t="n">
        <v>20</v>
      </c>
      <c r="F373" t="n">
        <v>0</v>
      </c>
      <c r="G373">
        <f>E8996+F8996</f>
        <v/>
      </c>
    </row>
    <row r="374">
      <c r="A374" t="inlineStr">
        <is>
          <t>37027682</t>
        </is>
      </c>
      <c r="B374" t="inlineStr">
        <is>
          <t>PRODUCTO 85E2A9</t>
        </is>
      </c>
      <c r="C374" t="inlineStr">
        <is>
          <t>Miraflores</t>
        </is>
      </c>
      <c r="D374" t="inlineStr">
        <is>
          <t>30/08/2026</t>
        </is>
      </c>
      <c r="E374" t="n">
        <v>27</v>
      </c>
      <c r="F374" t="n">
        <v>0</v>
      </c>
      <c r="G374">
        <f>E8997+F8997</f>
        <v/>
      </c>
    </row>
    <row r="375">
      <c r="A375" t="inlineStr">
        <is>
          <t>37027682</t>
        </is>
      </c>
      <c r="B375" t="inlineStr">
        <is>
          <t>PRODUCTO 85E2A9</t>
        </is>
      </c>
      <c r="C375" t="inlineStr">
        <is>
          <t>Salaverry</t>
        </is>
      </c>
      <c r="D375" t="inlineStr">
        <is>
          <t>30/08/2026</t>
        </is>
      </c>
      <c r="E375" t="n">
        <v>15</v>
      </c>
      <c r="F375" t="n">
        <v>0</v>
      </c>
      <c r="G375">
        <f>E9001+F9001</f>
        <v/>
      </c>
    </row>
    <row r="376">
      <c r="A376" t="inlineStr">
        <is>
          <t>37027682</t>
        </is>
      </c>
      <c r="B376" t="inlineStr">
        <is>
          <t>PRODUCTO 85E2A9</t>
        </is>
      </c>
      <c r="C376" t="inlineStr">
        <is>
          <t>San Borja</t>
        </is>
      </c>
      <c r="D376" t="inlineStr">
        <is>
          <t>30/08/2026</t>
        </is>
      </c>
      <c r="E376" t="n">
        <v>12</v>
      </c>
      <c r="F376" t="n">
        <v>0</v>
      </c>
      <c r="G376">
        <f>E9002+F9002</f>
        <v/>
      </c>
    </row>
    <row r="377">
      <c r="A377" t="inlineStr">
        <is>
          <t>37055589</t>
        </is>
      </c>
      <c r="B377" t="inlineStr">
        <is>
          <t>PRODUCTO D4ACDB</t>
        </is>
      </c>
      <c r="C377" t="inlineStr">
        <is>
          <t>San Miguel</t>
        </is>
      </c>
      <c r="D377" t="inlineStr">
        <is>
          <t>30/08/2026</t>
        </is>
      </c>
      <c r="E377" t="n">
        <v>0</v>
      </c>
      <c r="F377" t="n">
        <v>0</v>
      </c>
      <c r="G377">
        <f>E9009+F9009</f>
        <v/>
      </c>
    </row>
    <row r="378">
      <c r="A378" t="inlineStr">
        <is>
          <t>37055589</t>
        </is>
      </c>
      <c r="B378" t="inlineStr">
        <is>
          <t>PRODUCTO D4ACDB</t>
        </is>
      </c>
      <c r="C378" t="inlineStr">
        <is>
          <t>Miraflores</t>
        </is>
      </c>
      <c r="D378" t="inlineStr">
        <is>
          <t>30/08/2026</t>
        </is>
      </c>
      <c r="E378" t="n">
        <v>3</v>
      </c>
      <c r="F378" t="n">
        <v>0</v>
      </c>
      <c r="G378">
        <f>E9010+F9010</f>
        <v/>
      </c>
    </row>
    <row r="379">
      <c r="A379" t="inlineStr">
        <is>
          <t>37055589</t>
        </is>
      </c>
      <c r="B379" t="inlineStr">
        <is>
          <t>PRODUCTO D4ACDB</t>
        </is>
      </c>
      <c r="C379" t="inlineStr">
        <is>
          <t>Salaverry</t>
        </is>
      </c>
      <c r="D379" t="inlineStr">
        <is>
          <t>30/08/2026</t>
        </is>
      </c>
      <c r="E379" t="n">
        <v>1</v>
      </c>
      <c r="F379" t="n">
        <v>0</v>
      </c>
      <c r="G379">
        <f>E9016+F9016</f>
        <v/>
      </c>
    </row>
    <row r="380">
      <c r="A380" t="inlineStr">
        <is>
          <t>37055589</t>
        </is>
      </c>
      <c r="B380" t="inlineStr">
        <is>
          <t>PRODUCTO D4ACDB</t>
        </is>
      </c>
      <c r="C380" t="inlineStr">
        <is>
          <t>Piura</t>
        </is>
      </c>
      <c r="D380" t="inlineStr">
        <is>
          <t>30/08/2026</t>
        </is>
      </c>
      <c r="E380" t="n">
        <v>5</v>
      </c>
      <c r="F380" t="n">
        <v>0</v>
      </c>
      <c r="G380">
        <f>E9018+F9018</f>
        <v/>
      </c>
    </row>
    <row r="381">
      <c r="A381" t="inlineStr">
        <is>
          <t>37055594</t>
        </is>
      </c>
      <c r="B381" t="inlineStr">
        <is>
          <t>PRODUCTO 89FD72</t>
        </is>
      </c>
      <c r="C381" t="inlineStr">
        <is>
          <t>Miraflores</t>
        </is>
      </c>
      <c r="D381" t="inlineStr">
        <is>
          <t>30/08/2026</t>
        </is>
      </c>
      <c r="E381" t="n">
        <v>4</v>
      </c>
      <c r="F381" t="n">
        <v>0</v>
      </c>
      <c r="G381">
        <f>E9022+F9022</f>
        <v/>
      </c>
    </row>
    <row r="382">
      <c r="A382" t="inlineStr">
        <is>
          <t>37055598</t>
        </is>
      </c>
      <c r="B382" t="inlineStr">
        <is>
          <t>PRODUCTO DD2A0A</t>
        </is>
      </c>
      <c r="C382" t="inlineStr">
        <is>
          <t>Jockey Plaza</t>
        </is>
      </c>
      <c r="D382" t="inlineStr">
        <is>
          <t>30/08/2026</t>
        </is>
      </c>
      <c r="E382" t="n">
        <v>2</v>
      </c>
      <c r="F382" t="n">
        <v>0</v>
      </c>
      <c r="G382">
        <f>E9032+F9032</f>
        <v/>
      </c>
    </row>
    <row r="383">
      <c r="A383" t="inlineStr">
        <is>
          <t>37055598</t>
        </is>
      </c>
      <c r="B383" t="inlineStr">
        <is>
          <t>PRODUCTO DD2A0A</t>
        </is>
      </c>
      <c r="C383" t="inlineStr">
        <is>
          <t>San Miguel</t>
        </is>
      </c>
      <c r="D383" t="inlineStr">
        <is>
          <t>30/08/2026</t>
        </is>
      </c>
      <c r="E383" t="n">
        <v>3</v>
      </c>
      <c r="F383" t="n">
        <v>0</v>
      </c>
      <c r="G383">
        <f>E9033+F9033</f>
        <v/>
      </c>
    </row>
    <row r="384">
      <c r="A384" t="inlineStr">
        <is>
          <t>37055598</t>
        </is>
      </c>
      <c r="B384" t="inlineStr">
        <is>
          <t>PRODUCTO DD2A0A</t>
        </is>
      </c>
      <c r="C384" t="inlineStr">
        <is>
          <t>Miraflores</t>
        </is>
      </c>
      <c r="D384" t="inlineStr">
        <is>
          <t>30/08/2026</t>
        </is>
      </c>
      <c r="E384" t="n">
        <v>6</v>
      </c>
      <c r="F384" t="n">
        <v>0</v>
      </c>
      <c r="G384">
        <f>E9034+F9034</f>
        <v/>
      </c>
    </row>
    <row r="385">
      <c r="A385" t="inlineStr">
        <is>
          <t>37055598</t>
        </is>
      </c>
      <c r="B385" t="inlineStr">
        <is>
          <t>PRODUCTO DD2A0A</t>
        </is>
      </c>
      <c r="C385" t="inlineStr">
        <is>
          <t>Salaverry</t>
        </is>
      </c>
      <c r="D385" t="inlineStr">
        <is>
          <t>30/08/2026</t>
        </is>
      </c>
      <c r="E385" t="n">
        <v>1</v>
      </c>
      <c r="F385" t="n">
        <v>0</v>
      </c>
      <c r="G385">
        <f>E9042+F9042</f>
        <v/>
      </c>
    </row>
    <row r="386">
      <c r="A386" t="inlineStr">
        <is>
          <t>37055598</t>
        </is>
      </c>
      <c r="B386" t="inlineStr">
        <is>
          <t>PRODUCTO DD2A0A</t>
        </is>
      </c>
      <c r="C386" t="inlineStr">
        <is>
          <t>Piura</t>
        </is>
      </c>
      <c r="D386" t="inlineStr">
        <is>
          <t>30/08/2026</t>
        </is>
      </c>
      <c r="E386" t="n">
        <v>2</v>
      </c>
      <c r="F386" t="n">
        <v>0</v>
      </c>
      <c r="G386">
        <f>E9044+F9044</f>
        <v/>
      </c>
    </row>
    <row r="387">
      <c r="A387" t="inlineStr">
        <is>
          <t>37055608</t>
        </is>
      </c>
      <c r="B387" t="inlineStr">
        <is>
          <t>PRODUCTO B56DC4</t>
        </is>
      </c>
      <c r="C387" t="inlineStr">
        <is>
          <t>Jockey Plaza</t>
        </is>
      </c>
      <c r="D387" t="inlineStr">
        <is>
          <t>30/08/2026</t>
        </is>
      </c>
      <c r="E387" t="n">
        <v>9</v>
      </c>
      <c r="F387" t="n">
        <v>0</v>
      </c>
      <c r="G387">
        <f>E9060+F9060</f>
        <v/>
      </c>
    </row>
    <row r="388">
      <c r="A388" t="inlineStr">
        <is>
          <t>37055608</t>
        </is>
      </c>
      <c r="B388" t="inlineStr">
        <is>
          <t>PRODUCTO B56DC4</t>
        </is>
      </c>
      <c r="C388" t="inlineStr">
        <is>
          <t>San Miguel</t>
        </is>
      </c>
      <c r="D388" t="inlineStr">
        <is>
          <t>30/08/2026</t>
        </is>
      </c>
      <c r="E388" t="n">
        <v>7</v>
      </c>
      <c r="F388" t="n">
        <v>0</v>
      </c>
      <c r="G388">
        <f>E9061+F9061</f>
        <v/>
      </c>
    </row>
    <row r="389">
      <c r="A389" t="inlineStr">
        <is>
          <t>37055608</t>
        </is>
      </c>
      <c r="B389" t="inlineStr">
        <is>
          <t>PRODUCTO B56DC4</t>
        </is>
      </c>
      <c r="C389" t="inlineStr">
        <is>
          <t>Miraflores</t>
        </is>
      </c>
      <c r="D389" t="inlineStr">
        <is>
          <t>30/08/2026</t>
        </is>
      </c>
      <c r="E389" t="n">
        <v>13</v>
      </c>
      <c r="F389" t="n">
        <v>0</v>
      </c>
      <c r="G389">
        <f>E9062+F9062</f>
        <v/>
      </c>
    </row>
    <row r="390">
      <c r="A390" t="inlineStr">
        <is>
          <t>37055608</t>
        </is>
      </c>
      <c r="B390" t="inlineStr">
        <is>
          <t>PRODUCTO B56DC4</t>
        </is>
      </c>
      <c r="C390" t="inlineStr">
        <is>
          <t>Salaverry</t>
        </is>
      </c>
      <c r="D390" t="inlineStr">
        <is>
          <t>30/08/2026</t>
        </is>
      </c>
      <c r="E390" t="n">
        <v>2</v>
      </c>
      <c r="F390" t="n">
        <v>0</v>
      </c>
      <c r="G390">
        <f>E9069+F9069</f>
        <v/>
      </c>
    </row>
    <row r="391">
      <c r="A391" t="inlineStr">
        <is>
          <t>37055608</t>
        </is>
      </c>
      <c r="B391" t="inlineStr">
        <is>
          <t>PRODUCTO B56DC4</t>
        </is>
      </c>
      <c r="C391" t="inlineStr">
        <is>
          <t>San Borja</t>
        </is>
      </c>
      <c r="D391" t="inlineStr">
        <is>
          <t>30/08/2026</t>
        </is>
      </c>
      <c r="E391" t="n">
        <v>1</v>
      </c>
      <c r="F391" t="n">
        <v>0</v>
      </c>
      <c r="G391">
        <f>E9070+F9070</f>
        <v/>
      </c>
    </row>
    <row r="392">
      <c r="A392" t="inlineStr">
        <is>
          <t>37055608</t>
        </is>
      </c>
      <c r="B392" t="inlineStr">
        <is>
          <t>PRODUCTO B56DC4</t>
        </is>
      </c>
      <c r="C392" t="inlineStr">
        <is>
          <t>Piura</t>
        </is>
      </c>
      <c r="D392" t="inlineStr">
        <is>
          <t>30/08/2026</t>
        </is>
      </c>
      <c r="E392" t="n">
        <v>5</v>
      </c>
      <c r="F392" t="n">
        <v>0</v>
      </c>
      <c r="G392">
        <f>E9073+F9073</f>
        <v/>
      </c>
    </row>
    <row r="393">
      <c r="A393" t="inlineStr">
        <is>
          <t>37055612</t>
        </is>
      </c>
      <c r="B393" t="inlineStr">
        <is>
          <t>PRODUCTO 8D1A3B</t>
        </is>
      </c>
      <c r="C393" t="inlineStr">
        <is>
          <t>Jockey Plaza</t>
        </is>
      </c>
      <c r="D393" t="inlineStr">
        <is>
          <t>30/08/2026</t>
        </is>
      </c>
      <c r="E393" t="n">
        <v>2</v>
      </c>
      <c r="F393" t="n">
        <v>0</v>
      </c>
      <c r="G393">
        <f>E9077+F9077</f>
        <v/>
      </c>
    </row>
    <row r="394">
      <c r="A394" t="inlineStr">
        <is>
          <t>37055612</t>
        </is>
      </c>
      <c r="B394" t="inlineStr">
        <is>
          <t>PRODUCTO 8D1A3B</t>
        </is>
      </c>
      <c r="C394" t="inlineStr">
        <is>
          <t>San Miguel</t>
        </is>
      </c>
      <c r="D394" t="inlineStr">
        <is>
          <t>30/08/2026</t>
        </is>
      </c>
      <c r="E394" t="n">
        <v>1</v>
      </c>
      <c r="F394" t="n">
        <v>0</v>
      </c>
      <c r="G394">
        <f>E9078+F9078</f>
        <v/>
      </c>
    </row>
    <row r="395">
      <c r="A395" t="inlineStr">
        <is>
          <t>37055612</t>
        </is>
      </c>
      <c r="B395" t="inlineStr">
        <is>
          <t>PRODUCTO 8D1A3B</t>
        </is>
      </c>
      <c r="C395" t="inlineStr">
        <is>
          <t>Miraflores</t>
        </is>
      </c>
      <c r="D395" t="inlineStr">
        <is>
          <t>30/08/2026</t>
        </is>
      </c>
      <c r="E395" t="n">
        <v>4</v>
      </c>
      <c r="F395" t="n">
        <v>0</v>
      </c>
      <c r="G395">
        <f>E9079+F9079</f>
        <v/>
      </c>
    </row>
    <row r="396">
      <c r="A396" t="inlineStr">
        <is>
          <t>37055612</t>
        </is>
      </c>
      <c r="B396" t="inlineStr">
        <is>
          <t>PRODUCTO 8D1A3B</t>
        </is>
      </c>
      <c r="C396" t="inlineStr">
        <is>
          <t>Salaverry</t>
        </is>
      </c>
      <c r="D396" t="inlineStr">
        <is>
          <t>30/08/2026</t>
        </is>
      </c>
      <c r="E396" t="n">
        <v>2</v>
      </c>
      <c r="F396" t="n">
        <v>0</v>
      </c>
      <c r="G396">
        <f>E9085+F9085</f>
        <v/>
      </c>
    </row>
    <row r="397">
      <c r="A397" t="inlineStr">
        <is>
          <t>37055612</t>
        </is>
      </c>
      <c r="B397" t="inlineStr">
        <is>
          <t>PRODUCTO 8D1A3B</t>
        </is>
      </c>
      <c r="C397" t="inlineStr">
        <is>
          <t>San Borja</t>
        </is>
      </c>
      <c r="D397" t="inlineStr">
        <is>
          <t>30/08/2026</t>
        </is>
      </c>
      <c r="E397" t="n">
        <v>2</v>
      </c>
      <c r="F397" t="n">
        <v>0</v>
      </c>
      <c r="G397">
        <f>E9086+F9086</f>
        <v/>
      </c>
    </row>
    <row r="398">
      <c r="A398" t="inlineStr">
        <is>
          <t>37055612</t>
        </is>
      </c>
      <c r="B398" t="inlineStr">
        <is>
          <t>PRODUCTO 8D1A3B</t>
        </is>
      </c>
      <c r="C398" t="inlineStr">
        <is>
          <t>Piura</t>
        </is>
      </c>
      <c r="D398" t="inlineStr">
        <is>
          <t>30/08/2026</t>
        </is>
      </c>
      <c r="E398" t="n">
        <v>3</v>
      </c>
      <c r="F398" t="n">
        <v>0</v>
      </c>
      <c r="G398">
        <f>E9088+F9088</f>
        <v/>
      </c>
    </row>
    <row r="399">
      <c r="A399" t="inlineStr">
        <is>
          <t>37076452</t>
        </is>
      </c>
      <c r="B399" t="inlineStr">
        <is>
          <t>PRODUCTO 96702F</t>
        </is>
      </c>
      <c r="C399" t="inlineStr">
        <is>
          <t>Jockey Plaza</t>
        </is>
      </c>
      <c r="D399" t="inlineStr">
        <is>
          <t>30/08/2026</t>
        </is>
      </c>
      <c r="E399" t="n">
        <v>1</v>
      </c>
      <c r="F399" t="n">
        <v>0</v>
      </c>
      <c r="G399">
        <f>E9126+F9126</f>
        <v/>
      </c>
    </row>
    <row r="400">
      <c r="A400" t="inlineStr">
        <is>
          <t>37076452</t>
        </is>
      </c>
      <c r="B400" t="inlineStr">
        <is>
          <t>PRODUCTO 96702F</t>
        </is>
      </c>
      <c r="C400" t="inlineStr">
        <is>
          <t>San Miguel</t>
        </is>
      </c>
      <c r="D400" t="inlineStr">
        <is>
          <t>30/08/2026</t>
        </is>
      </c>
      <c r="E400" t="n">
        <v>1</v>
      </c>
      <c r="F400" t="n">
        <v>0</v>
      </c>
      <c r="G400">
        <f>E9127+F9127</f>
        <v/>
      </c>
    </row>
    <row r="401">
      <c r="A401" t="inlineStr">
        <is>
          <t>37076452</t>
        </is>
      </c>
      <c r="B401" t="inlineStr">
        <is>
          <t>PRODUCTO 96702F</t>
        </is>
      </c>
      <c r="C401" t="inlineStr">
        <is>
          <t>Miraflores</t>
        </is>
      </c>
      <c r="D401" t="inlineStr">
        <is>
          <t>30/08/2026</t>
        </is>
      </c>
      <c r="E401" t="n">
        <v>4</v>
      </c>
      <c r="F401" t="n">
        <v>0</v>
      </c>
      <c r="G401">
        <f>E9128+F9128</f>
        <v/>
      </c>
    </row>
    <row r="402">
      <c r="A402" t="inlineStr">
        <is>
          <t>37076452</t>
        </is>
      </c>
      <c r="B402" t="inlineStr">
        <is>
          <t>PRODUCTO 96702F</t>
        </is>
      </c>
      <c r="C402" t="inlineStr">
        <is>
          <t>San Borja</t>
        </is>
      </c>
      <c r="D402" t="inlineStr">
        <is>
          <t>30/08/2026</t>
        </is>
      </c>
      <c r="E402" t="n">
        <v>7</v>
      </c>
      <c r="F402" t="n">
        <v>0</v>
      </c>
      <c r="G402">
        <f>E9129+F9129</f>
        <v/>
      </c>
    </row>
    <row r="403">
      <c r="A403" t="inlineStr">
        <is>
          <t>37076463</t>
        </is>
      </c>
      <c r="B403" t="inlineStr">
        <is>
          <t>PRODUCTO 2B9649</t>
        </is>
      </c>
      <c r="C403" t="inlineStr">
        <is>
          <t>Miraflores</t>
        </is>
      </c>
      <c r="D403" t="inlineStr">
        <is>
          <t>30/08/2026</t>
        </is>
      </c>
      <c r="E403" t="n">
        <v>1</v>
      </c>
      <c r="F403" t="n">
        <v>0</v>
      </c>
      <c r="G403">
        <f>E9134+F9134</f>
        <v/>
      </c>
    </row>
    <row r="404">
      <c r="A404" t="inlineStr">
        <is>
          <t>37076463</t>
        </is>
      </c>
      <c r="B404" t="inlineStr">
        <is>
          <t>PRODUCTO 2B9649</t>
        </is>
      </c>
      <c r="C404" t="inlineStr">
        <is>
          <t>San Borja</t>
        </is>
      </c>
      <c r="D404" t="inlineStr">
        <is>
          <t>30/08/2026</t>
        </is>
      </c>
      <c r="E404" t="n">
        <v>2</v>
      </c>
      <c r="F404" t="n">
        <v>0</v>
      </c>
      <c r="G404">
        <f>E9136+F9136</f>
        <v/>
      </c>
    </row>
    <row r="405">
      <c r="A405" t="inlineStr">
        <is>
          <t>37078226</t>
        </is>
      </c>
      <c r="B405" t="inlineStr">
        <is>
          <t>PRODUCTO 793DFE</t>
        </is>
      </c>
      <c r="C405" t="inlineStr">
        <is>
          <t>Jockey Plaza</t>
        </is>
      </c>
      <c r="D405" t="inlineStr">
        <is>
          <t>30/08/2026</t>
        </is>
      </c>
      <c r="E405" t="n">
        <v>8</v>
      </c>
      <c r="F405" t="n">
        <v>0</v>
      </c>
      <c r="G405">
        <f>E9254+F9254</f>
        <v/>
      </c>
    </row>
    <row r="406">
      <c r="A406" t="inlineStr">
        <is>
          <t>37078226</t>
        </is>
      </c>
      <c r="B406" t="inlineStr">
        <is>
          <t>PRODUCTO 793DFE</t>
        </is>
      </c>
      <c r="C406" t="inlineStr">
        <is>
          <t>San Miguel</t>
        </is>
      </c>
      <c r="D406" t="inlineStr">
        <is>
          <t>30/08/2026</t>
        </is>
      </c>
      <c r="E406" t="n">
        <v>3</v>
      </c>
      <c r="F406" t="n">
        <v>0</v>
      </c>
      <c r="G406">
        <f>E9255+F9255</f>
        <v/>
      </c>
    </row>
    <row r="407">
      <c r="A407" t="inlineStr">
        <is>
          <t>37078226</t>
        </is>
      </c>
      <c r="B407" t="inlineStr">
        <is>
          <t>PRODUCTO 793DFE</t>
        </is>
      </c>
      <c r="C407" t="inlineStr">
        <is>
          <t>Salaverry</t>
        </is>
      </c>
      <c r="D407" t="inlineStr">
        <is>
          <t>30/08/2026</t>
        </is>
      </c>
      <c r="E407" t="n">
        <v>5</v>
      </c>
      <c r="F407" t="n">
        <v>0</v>
      </c>
      <c r="G407">
        <f>E9263+F9263</f>
        <v/>
      </c>
    </row>
    <row r="408">
      <c r="A408" t="inlineStr">
        <is>
          <t>37078226</t>
        </is>
      </c>
      <c r="B408" t="inlineStr">
        <is>
          <t>PRODUCTO 793DFE</t>
        </is>
      </c>
      <c r="C408" t="inlineStr">
        <is>
          <t>San Borja</t>
        </is>
      </c>
      <c r="D408" t="inlineStr">
        <is>
          <t>30/08/2026</t>
        </is>
      </c>
      <c r="E408" t="n">
        <v>6</v>
      </c>
      <c r="F408" t="n">
        <v>0</v>
      </c>
      <c r="G408">
        <f>E9264+F9264</f>
        <v/>
      </c>
    </row>
    <row r="409">
      <c r="A409" t="inlineStr">
        <is>
          <t>37097249</t>
        </is>
      </c>
      <c r="B409" t="inlineStr">
        <is>
          <t>PRODUCTO 2E75E4</t>
        </is>
      </c>
      <c r="C409" t="inlineStr">
        <is>
          <t>Jockey Plaza</t>
        </is>
      </c>
      <c r="D409" t="inlineStr">
        <is>
          <t>30/08/2026</t>
        </is>
      </c>
      <c r="E409" t="n">
        <v>10</v>
      </c>
      <c r="F409" t="n">
        <v>0</v>
      </c>
      <c r="G409">
        <f>E9344+F9344</f>
        <v/>
      </c>
    </row>
    <row r="410">
      <c r="A410" t="inlineStr">
        <is>
          <t>37097249</t>
        </is>
      </c>
      <c r="B410" t="inlineStr">
        <is>
          <t>PRODUCTO 2E75E4</t>
        </is>
      </c>
      <c r="C410" t="inlineStr">
        <is>
          <t>San Miguel</t>
        </is>
      </c>
      <c r="D410" t="inlineStr">
        <is>
          <t>30/08/2026</t>
        </is>
      </c>
      <c r="E410" t="n">
        <v>12</v>
      </c>
      <c r="F410" t="n">
        <v>0</v>
      </c>
      <c r="G410">
        <f>E9345+F9345</f>
        <v/>
      </c>
    </row>
    <row r="411">
      <c r="A411" t="inlineStr">
        <is>
          <t>37097249</t>
        </is>
      </c>
      <c r="B411" t="inlineStr">
        <is>
          <t>PRODUCTO 2E75E4</t>
        </is>
      </c>
      <c r="C411" t="inlineStr">
        <is>
          <t>Miraflores</t>
        </is>
      </c>
      <c r="D411" t="inlineStr">
        <is>
          <t>30/08/2026</t>
        </is>
      </c>
      <c r="E411" t="n">
        <v>15</v>
      </c>
      <c r="F411" t="n">
        <v>0</v>
      </c>
      <c r="G411">
        <f>E9346+F9346</f>
        <v/>
      </c>
    </row>
    <row r="412">
      <c r="A412" t="inlineStr">
        <is>
          <t>37097249</t>
        </is>
      </c>
      <c r="B412" t="inlineStr">
        <is>
          <t>PRODUCTO 2E75E4</t>
        </is>
      </c>
      <c r="C412" t="inlineStr">
        <is>
          <t>Salaverry</t>
        </is>
      </c>
      <c r="D412" t="inlineStr">
        <is>
          <t>30/08/2026</t>
        </is>
      </c>
      <c r="E412" t="n">
        <v>10</v>
      </c>
      <c r="F412" t="n">
        <v>0</v>
      </c>
      <c r="G412">
        <f>E9354+F9354</f>
        <v/>
      </c>
    </row>
    <row r="413">
      <c r="A413" t="inlineStr">
        <is>
          <t>37097249</t>
        </is>
      </c>
      <c r="B413" t="inlineStr">
        <is>
          <t>PRODUCTO 2E75E4</t>
        </is>
      </c>
      <c r="C413" t="inlineStr">
        <is>
          <t>San Borja</t>
        </is>
      </c>
      <c r="D413" t="inlineStr">
        <is>
          <t>30/08/2026</t>
        </is>
      </c>
      <c r="E413" t="n">
        <v>15</v>
      </c>
      <c r="F413" t="n">
        <v>0</v>
      </c>
      <c r="G413">
        <f>E9355+F9355</f>
        <v/>
      </c>
    </row>
    <row r="414">
      <c r="A414" t="inlineStr">
        <is>
          <t>37097249</t>
        </is>
      </c>
      <c r="B414" t="inlineStr">
        <is>
          <t>PRODUCTO 2E75E4</t>
        </is>
      </c>
      <c r="C414" t="inlineStr">
        <is>
          <t>Piura</t>
        </is>
      </c>
      <c r="D414" t="inlineStr">
        <is>
          <t>30/08/2026</t>
        </is>
      </c>
      <c r="E414" t="n">
        <v>3</v>
      </c>
      <c r="F414" t="n">
        <v>0</v>
      </c>
      <c r="G414">
        <f>E9360+F9360</f>
        <v/>
      </c>
    </row>
    <row r="415">
      <c r="A415" t="inlineStr">
        <is>
          <t>37133243</t>
        </is>
      </c>
      <c r="B415" t="inlineStr">
        <is>
          <t>PRODUCTO 70B50D</t>
        </is>
      </c>
      <c r="C415" t="inlineStr">
        <is>
          <t>San Miguel</t>
        </is>
      </c>
      <c r="D415" t="inlineStr">
        <is>
          <t>30/08/2026</t>
        </is>
      </c>
      <c r="E415" t="n">
        <v>7</v>
      </c>
      <c r="F415" t="n">
        <v>0</v>
      </c>
      <c r="G415">
        <f>E9452+F9452</f>
        <v/>
      </c>
    </row>
    <row r="416">
      <c r="A416" t="inlineStr">
        <is>
          <t>37133243</t>
        </is>
      </c>
      <c r="B416" t="inlineStr">
        <is>
          <t>PRODUCTO 70B50D</t>
        </is>
      </c>
      <c r="C416" t="inlineStr">
        <is>
          <t>Miraflores</t>
        </is>
      </c>
      <c r="D416" t="inlineStr">
        <is>
          <t>30/08/2026</t>
        </is>
      </c>
      <c r="E416" t="n">
        <v>10</v>
      </c>
      <c r="F416" t="n">
        <v>0</v>
      </c>
      <c r="G416">
        <f>E9453+F9453</f>
        <v/>
      </c>
    </row>
    <row r="417">
      <c r="A417" t="inlineStr">
        <is>
          <t>37133243</t>
        </is>
      </c>
      <c r="B417" t="inlineStr">
        <is>
          <t>PRODUCTO 70B50D</t>
        </is>
      </c>
      <c r="C417" t="inlineStr">
        <is>
          <t>Salaverry</t>
        </is>
      </c>
      <c r="D417" t="inlineStr">
        <is>
          <t>30/08/2026</t>
        </is>
      </c>
      <c r="E417" t="n">
        <v>6</v>
      </c>
      <c r="F417" t="n">
        <v>0</v>
      </c>
      <c r="G417">
        <f>E9459+F9459</f>
        <v/>
      </c>
    </row>
    <row r="418">
      <c r="A418" t="inlineStr">
        <is>
          <t>37133243</t>
        </is>
      </c>
      <c r="B418" t="inlineStr">
        <is>
          <t>PRODUCTO 70B50D</t>
        </is>
      </c>
      <c r="C418" t="inlineStr">
        <is>
          <t>San Borja</t>
        </is>
      </c>
      <c r="D418" t="inlineStr">
        <is>
          <t>30/08/2026</t>
        </is>
      </c>
      <c r="E418" t="n">
        <v>16</v>
      </c>
      <c r="F418" t="n">
        <v>0</v>
      </c>
      <c r="G418">
        <f>E9460+F9460</f>
        <v/>
      </c>
    </row>
    <row r="419">
      <c r="A419" t="inlineStr">
        <is>
          <t>37133243</t>
        </is>
      </c>
      <c r="B419" t="inlineStr">
        <is>
          <t>PRODUCTO 70B50D</t>
        </is>
      </c>
      <c r="C419" t="inlineStr">
        <is>
          <t>Piura</t>
        </is>
      </c>
      <c r="D419" t="inlineStr">
        <is>
          <t>30/08/2026</t>
        </is>
      </c>
      <c r="E419" t="n">
        <v>9</v>
      </c>
      <c r="F419" t="n">
        <v>0</v>
      </c>
      <c r="G419">
        <f>E9462+F9462</f>
        <v/>
      </c>
    </row>
    <row r="420">
      <c r="A420" t="inlineStr">
        <is>
          <t>37133325</t>
        </is>
      </c>
      <c r="B420" t="inlineStr">
        <is>
          <t>PRODUCTO 6E482E</t>
        </is>
      </c>
      <c r="C420" t="inlineStr">
        <is>
          <t>Jockey Plaza</t>
        </is>
      </c>
      <c r="D420" t="inlineStr">
        <is>
          <t>30/08/2026</t>
        </is>
      </c>
      <c r="E420" t="n">
        <v>11</v>
      </c>
      <c r="F420" t="n">
        <v>0</v>
      </c>
      <c r="G420">
        <f>E9560+F9560</f>
        <v/>
      </c>
    </row>
    <row r="421">
      <c r="A421" t="inlineStr">
        <is>
          <t>37133325</t>
        </is>
      </c>
      <c r="B421" t="inlineStr">
        <is>
          <t>PRODUCTO 6E482E</t>
        </is>
      </c>
      <c r="C421" t="inlineStr">
        <is>
          <t>San Miguel</t>
        </is>
      </c>
      <c r="D421" t="inlineStr">
        <is>
          <t>30/08/2026</t>
        </is>
      </c>
      <c r="E421" t="n">
        <v>7</v>
      </c>
      <c r="F421" t="n">
        <v>0</v>
      </c>
      <c r="G421">
        <f>E9561+F9561</f>
        <v/>
      </c>
    </row>
    <row r="422">
      <c r="A422" t="inlineStr">
        <is>
          <t>37133325</t>
        </is>
      </c>
      <c r="B422" t="inlineStr">
        <is>
          <t>PRODUCTO 6E482E</t>
        </is>
      </c>
      <c r="C422" t="inlineStr">
        <is>
          <t>Miraflores</t>
        </is>
      </c>
      <c r="D422" t="inlineStr">
        <is>
          <t>30/08/2026</t>
        </is>
      </c>
      <c r="E422" t="n">
        <v>5</v>
      </c>
      <c r="F422" t="n">
        <v>0</v>
      </c>
      <c r="G422">
        <f>E9562+F9562</f>
        <v/>
      </c>
    </row>
    <row r="423">
      <c r="A423" t="inlineStr">
        <is>
          <t>37133325</t>
        </is>
      </c>
      <c r="B423" t="inlineStr">
        <is>
          <t>PRODUCTO 6E482E</t>
        </is>
      </c>
      <c r="C423" t="inlineStr">
        <is>
          <t>Salaverry</t>
        </is>
      </c>
      <c r="D423" t="inlineStr">
        <is>
          <t>30/08/2026</t>
        </is>
      </c>
      <c r="E423" t="n">
        <v>10</v>
      </c>
      <c r="F423" t="n">
        <v>0</v>
      </c>
      <c r="G423">
        <f>E9564+F9564</f>
        <v/>
      </c>
    </row>
    <row r="424">
      <c r="A424" t="inlineStr">
        <is>
          <t>37133325</t>
        </is>
      </c>
      <c r="B424" t="inlineStr">
        <is>
          <t>PRODUCTO 6E482E</t>
        </is>
      </c>
      <c r="C424" t="inlineStr">
        <is>
          <t>San Borja</t>
        </is>
      </c>
      <c r="D424" t="inlineStr">
        <is>
          <t>30/08/2026</t>
        </is>
      </c>
      <c r="E424" t="n">
        <v>2</v>
      </c>
      <c r="F424" t="n">
        <v>0</v>
      </c>
      <c r="G424">
        <f>E9565+F9565</f>
        <v/>
      </c>
    </row>
    <row r="425">
      <c r="A425" t="inlineStr">
        <is>
          <t>37133335</t>
        </is>
      </c>
      <c r="B425" t="inlineStr">
        <is>
          <t>PRODUCTO 325045</t>
        </is>
      </c>
      <c r="C425" t="inlineStr">
        <is>
          <t>Jockey Plaza</t>
        </is>
      </c>
      <c r="D425" t="inlineStr">
        <is>
          <t>30/08/2026</t>
        </is>
      </c>
      <c r="E425" t="n">
        <v>4</v>
      </c>
      <c r="F425" t="n">
        <v>0</v>
      </c>
      <c r="G425">
        <f>E9567+F9567</f>
        <v/>
      </c>
    </row>
    <row r="426">
      <c r="A426" t="inlineStr">
        <is>
          <t>37133335</t>
        </is>
      </c>
      <c r="B426" t="inlineStr">
        <is>
          <t>PRODUCTO 325045</t>
        </is>
      </c>
      <c r="C426" t="inlineStr">
        <is>
          <t>San Miguel</t>
        </is>
      </c>
      <c r="D426" t="inlineStr">
        <is>
          <t>30/08/2026</t>
        </is>
      </c>
      <c r="E426" t="n">
        <v>10</v>
      </c>
      <c r="F426" t="n">
        <v>0</v>
      </c>
      <c r="G426">
        <f>E9568+F9568</f>
        <v/>
      </c>
    </row>
    <row r="427">
      <c r="A427" t="inlineStr">
        <is>
          <t>37133335</t>
        </is>
      </c>
      <c r="B427" t="inlineStr">
        <is>
          <t>PRODUCTO 325045</t>
        </is>
      </c>
      <c r="C427" t="inlineStr">
        <is>
          <t>Miraflores</t>
        </is>
      </c>
      <c r="D427" t="inlineStr">
        <is>
          <t>30/08/2026</t>
        </is>
      </c>
      <c r="E427" t="n">
        <v>8</v>
      </c>
      <c r="F427" t="n">
        <v>0</v>
      </c>
      <c r="G427">
        <f>E9569+F9569</f>
        <v/>
      </c>
    </row>
    <row r="428">
      <c r="A428" t="inlineStr">
        <is>
          <t>37133335</t>
        </is>
      </c>
      <c r="B428" t="inlineStr">
        <is>
          <t>PRODUCTO 325045</t>
        </is>
      </c>
      <c r="C428" t="inlineStr">
        <is>
          <t>Salaverry</t>
        </is>
      </c>
      <c r="D428" t="inlineStr">
        <is>
          <t>30/08/2026</t>
        </is>
      </c>
      <c r="E428" t="n">
        <v>10</v>
      </c>
      <c r="F428" t="n">
        <v>0</v>
      </c>
      <c r="G428">
        <f>E9571+F9571</f>
        <v/>
      </c>
    </row>
    <row r="429">
      <c r="A429" t="inlineStr">
        <is>
          <t>37133335</t>
        </is>
      </c>
      <c r="B429" t="inlineStr">
        <is>
          <t>PRODUCTO 325045</t>
        </is>
      </c>
      <c r="C429" t="inlineStr">
        <is>
          <t>San Borja</t>
        </is>
      </c>
      <c r="D429" t="inlineStr">
        <is>
          <t>30/08/2026</t>
        </is>
      </c>
      <c r="E429" t="n">
        <v>9</v>
      </c>
      <c r="F429" t="n">
        <v>0</v>
      </c>
      <c r="G429">
        <f>E9572+F9572</f>
        <v/>
      </c>
    </row>
    <row r="430">
      <c r="A430" t="inlineStr">
        <is>
          <t>37181861</t>
        </is>
      </c>
      <c r="B430" t="inlineStr">
        <is>
          <t>PRODUCTO 6DC3C7</t>
        </is>
      </c>
      <c r="C430" t="inlineStr">
        <is>
          <t>Jockey Plaza</t>
        </is>
      </c>
      <c r="D430" t="inlineStr">
        <is>
          <t>30/08/2026</t>
        </is>
      </c>
      <c r="E430" t="n">
        <v>42</v>
      </c>
      <c r="F430" t="n">
        <v>0</v>
      </c>
      <c r="G430">
        <f>E9896+F9896</f>
        <v/>
      </c>
    </row>
    <row r="431">
      <c r="A431" t="inlineStr">
        <is>
          <t>37181861</t>
        </is>
      </c>
      <c r="B431" t="inlineStr">
        <is>
          <t>PRODUCTO 6DC3C7</t>
        </is>
      </c>
      <c r="C431" t="inlineStr">
        <is>
          <t>San Miguel</t>
        </is>
      </c>
      <c r="D431" t="inlineStr">
        <is>
          <t>30/08/2026</t>
        </is>
      </c>
      <c r="E431" t="n">
        <v>50</v>
      </c>
      <c r="F431" t="n">
        <v>0</v>
      </c>
      <c r="G431">
        <f>E9897+F9897</f>
        <v/>
      </c>
    </row>
    <row r="432">
      <c r="A432" t="inlineStr">
        <is>
          <t>37181861</t>
        </is>
      </c>
      <c r="B432" t="inlineStr">
        <is>
          <t>PRODUCTO 6DC3C7</t>
        </is>
      </c>
      <c r="C432" t="inlineStr">
        <is>
          <t>Miraflores</t>
        </is>
      </c>
      <c r="D432" t="inlineStr">
        <is>
          <t>30/08/2026</t>
        </is>
      </c>
      <c r="E432" t="n">
        <v>48</v>
      </c>
      <c r="F432" t="n">
        <v>0</v>
      </c>
      <c r="G432">
        <f>E9898+F9898</f>
        <v/>
      </c>
    </row>
    <row r="433">
      <c r="A433" t="inlineStr">
        <is>
          <t>37181861</t>
        </is>
      </c>
      <c r="B433" t="inlineStr">
        <is>
          <t>PRODUCTO 6DC3C7</t>
        </is>
      </c>
      <c r="C433" t="inlineStr">
        <is>
          <t>Salaverry</t>
        </is>
      </c>
      <c r="D433" t="inlineStr">
        <is>
          <t>30/08/2026</t>
        </is>
      </c>
      <c r="E433" t="n">
        <v>55</v>
      </c>
      <c r="F433" t="n">
        <v>0</v>
      </c>
      <c r="G433">
        <f>E9904+F9904</f>
        <v/>
      </c>
    </row>
    <row r="434">
      <c r="A434" t="inlineStr">
        <is>
          <t>37181861</t>
        </is>
      </c>
      <c r="B434" t="inlineStr">
        <is>
          <t>PRODUCTO 6DC3C7</t>
        </is>
      </c>
      <c r="C434" t="inlineStr">
        <is>
          <t>San Borja</t>
        </is>
      </c>
      <c r="D434" t="inlineStr">
        <is>
          <t>30/08/2026</t>
        </is>
      </c>
      <c r="E434" t="n">
        <v>41</v>
      </c>
      <c r="F434" t="n">
        <v>0</v>
      </c>
      <c r="G434">
        <f>E9905+F9905</f>
        <v/>
      </c>
    </row>
    <row r="435">
      <c r="A435" t="inlineStr">
        <is>
          <t>37181861</t>
        </is>
      </c>
      <c r="B435" t="inlineStr">
        <is>
          <t>PRODUCTO 6DC3C7</t>
        </is>
      </c>
      <c r="C435" t="inlineStr">
        <is>
          <t>Piura</t>
        </is>
      </c>
      <c r="D435" t="inlineStr">
        <is>
          <t>30/08/2026</t>
        </is>
      </c>
      <c r="E435" t="n">
        <v>17</v>
      </c>
      <c r="F435" t="n">
        <v>0</v>
      </c>
      <c r="G435">
        <f>E9907+F9907</f>
        <v/>
      </c>
    </row>
    <row r="436">
      <c r="A436" t="inlineStr">
        <is>
          <t>37186804</t>
        </is>
      </c>
      <c r="B436" t="inlineStr">
        <is>
          <t>PRODUCTO 714B85</t>
        </is>
      </c>
      <c r="C436" t="inlineStr">
        <is>
          <t>Jockey Plaza</t>
        </is>
      </c>
      <c r="D436" t="inlineStr">
        <is>
          <t>30/08/2026</t>
        </is>
      </c>
      <c r="E436" t="n">
        <v>10</v>
      </c>
      <c r="F436" t="n">
        <v>0</v>
      </c>
      <c r="G436">
        <f>E9948+F9948</f>
        <v/>
      </c>
    </row>
    <row r="437">
      <c r="A437" t="inlineStr">
        <is>
          <t>37186804</t>
        </is>
      </c>
      <c r="B437" t="inlineStr">
        <is>
          <t>PRODUCTO 714B85</t>
        </is>
      </c>
      <c r="C437" t="inlineStr">
        <is>
          <t>San Miguel</t>
        </is>
      </c>
      <c r="D437" t="inlineStr">
        <is>
          <t>30/08/2026</t>
        </is>
      </c>
      <c r="E437" t="n">
        <v>9</v>
      </c>
      <c r="F437" t="n">
        <v>0</v>
      </c>
      <c r="G437">
        <f>E9949+F9949</f>
        <v/>
      </c>
    </row>
    <row r="438">
      <c r="A438" t="inlineStr">
        <is>
          <t>37186804</t>
        </is>
      </c>
      <c r="B438" t="inlineStr">
        <is>
          <t>PRODUCTO 714B85</t>
        </is>
      </c>
      <c r="C438" t="inlineStr">
        <is>
          <t>Miraflores</t>
        </is>
      </c>
      <c r="D438" t="inlineStr">
        <is>
          <t>30/08/2026</t>
        </is>
      </c>
      <c r="E438" t="n">
        <v>1</v>
      </c>
      <c r="F438" t="n">
        <v>0</v>
      </c>
      <c r="G438">
        <f>E9950+F9950</f>
        <v/>
      </c>
    </row>
    <row r="439">
      <c r="A439" t="inlineStr">
        <is>
          <t>37186804</t>
        </is>
      </c>
      <c r="B439" t="inlineStr">
        <is>
          <t>PRODUCTO 714B85</t>
        </is>
      </c>
      <c r="C439" t="inlineStr">
        <is>
          <t>Piura</t>
        </is>
      </c>
      <c r="D439" t="inlineStr">
        <is>
          <t>30/08/2026</t>
        </is>
      </c>
      <c r="E439" t="n">
        <v>3</v>
      </c>
      <c r="F439" t="n">
        <v>0</v>
      </c>
      <c r="G439">
        <f>E9953+F9953</f>
        <v/>
      </c>
    </row>
    <row r="440">
      <c r="A440" t="inlineStr">
        <is>
          <t>37198760</t>
        </is>
      </c>
      <c r="B440" t="inlineStr">
        <is>
          <t>PRODUCTO 3FEB4E</t>
        </is>
      </c>
      <c r="C440" t="inlineStr">
        <is>
          <t>Jockey Plaza</t>
        </is>
      </c>
      <c r="D440" t="inlineStr">
        <is>
          <t>30/08/2026</t>
        </is>
      </c>
      <c r="E440" t="n">
        <v>4</v>
      </c>
      <c r="F440" t="n">
        <v>0</v>
      </c>
      <c r="G440">
        <f>E10188+F10188</f>
        <v/>
      </c>
    </row>
    <row r="441">
      <c r="A441" t="inlineStr">
        <is>
          <t>37198760</t>
        </is>
      </c>
      <c r="B441" t="inlineStr">
        <is>
          <t>PRODUCTO 3FEB4E</t>
        </is>
      </c>
      <c r="C441" t="inlineStr">
        <is>
          <t>San Miguel</t>
        </is>
      </c>
      <c r="D441" t="inlineStr">
        <is>
          <t>30/08/2026</t>
        </is>
      </c>
      <c r="E441" t="n">
        <v>1</v>
      </c>
      <c r="F441" t="n">
        <v>0</v>
      </c>
      <c r="G441">
        <f>E10189+F10189</f>
        <v/>
      </c>
    </row>
    <row r="442">
      <c r="A442" t="inlineStr">
        <is>
          <t>37198760</t>
        </is>
      </c>
      <c r="B442" t="inlineStr">
        <is>
          <t>PRODUCTO 3FEB4E</t>
        </is>
      </c>
      <c r="C442" t="inlineStr">
        <is>
          <t>Miraflores</t>
        </is>
      </c>
      <c r="D442" t="inlineStr">
        <is>
          <t>30/08/2026</t>
        </is>
      </c>
      <c r="E442" t="n">
        <v>5</v>
      </c>
      <c r="F442" t="n">
        <v>0</v>
      </c>
      <c r="G442">
        <f>E10190+F10190</f>
        <v/>
      </c>
    </row>
    <row r="443">
      <c r="A443" t="inlineStr">
        <is>
          <t>37198760</t>
        </is>
      </c>
      <c r="B443" t="inlineStr">
        <is>
          <t>PRODUCTO 3FEB4E</t>
        </is>
      </c>
      <c r="C443" t="inlineStr">
        <is>
          <t>Salaverry</t>
        </is>
      </c>
      <c r="D443" t="inlineStr">
        <is>
          <t>30/08/2026</t>
        </is>
      </c>
      <c r="E443" t="n">
        <v>3</v>
      </c>
      <c r="F443" t="n">
        <v>0</v>
      </c>
      <c r="G443">
        <f>E10198+F10198</f>
        <v/>
      </c>
    </row>
    <row r="444">
      <c r="A444" t="inlineStr">
        <is>
          <t>37198760</t>
        </is>
      </c>
      <c r="B444" t="inlineStr">
        <is>
          <t>PRODUCTO 3FEB4E</t>
        </is>
      </c>
      <c r="C444" t="inlineStr">
        <is>
          <t>San Borja</t>
        </is>
      </c>
      <c r="D444" t="inlineStr">
        <is>
          <t>30/08/2026</t>
        </is>
      </c>
      <c r="E444" t="n">
        <v>7</v>
      </c>
      <c r="F444" t="n">
        <v>0</v>
      </c>
      <c r="G444">
        <f>E10199+F10199</f>
        <v/>
      </c>
    </row>
    <row r="445">
      <c r="A445" t="inlineStr">
        <is>
          <t>37198760</t>
        </is>
      </c>
      <c r="B445" t="inlineStr">
        <is>
          <t>PRODUCTO 3FEB4E</t>
        </is>
      </c>
      <c r="C445" t="inlineStr">
        <is>
          <t>Piura</t>
        </is>
      </c>
      <c r="D445" t="inlineStr">
        <is>
          <t>30/08/2026</t>
        </is>
      </c>
      <c r="E445" t="n">
        <v>1</v>
      </c>
      <c r="F445" t="n">
        <v>0</v>
      </c>
      <c r="G445">
        <f>E10204+F10204</f>
        <v/>
      </c>
    </row>
    <row r="446">
      <c r="A446" t="inlineStr">
        <is>
          <t>37198784</t>
        </is>
      </c>
      <c r="B446" t="inlineStr">
        <is>
          <t>PRODUCTO F9A206</t>
        </is>
      </c>
      <c r="C446" t="inlineStr">
        <is>
          <t>Jockey Plaza</t>
        </is>
      </c>
      <c r="D446" t="inlineStr">
        <is>
          <t>30/08/2026</t>
        </is>
      </c>
      <c r="E446" t="n">
        <v>20</v>
      </c>
      <c r="F446" t="n">
        <v>0</v>
      </c>
      <c r="G446">
        <f>E10270+F10270</f>
        <v/>
      </c>
    </row>
    <row r="447">
      <c r="A447" t="inlineStr">
        <is>
          <t>37198784</t>
        </is>
      </c>
      <c r="B447" t="inlineStr">
        <is>
          <t>PRODUCTO F9A206</t>
        </is>
      </c>
      <c r="C447" t="inlineStr">
        <is>
          <t>San Miguel</t>
        </is>
      </c>
      <c r="D447" t="inlineStr">
        <is>
          <t>30/08/2026</t>
        </is>
      </c>
      <c r="E447" t="n">
        <v>16</v>
      </c>
      <c r="F447" t="n">
        <v>0</v>
      </c>
      <c r="G447">
        <f>E10271+F10271</f>
        <v/>
      </c>
    </row>
    <row r="448">
      <c r="A448" t="inlineStr">
        <is>
          <t>37198784</t>
        </is>
      </c>
      <c r="B448" t="inlineStr">
        <is>
          <t>PRODUCTO F9A206</t>
        </is>
      </c>
      <c r="C448" t="inlineStr">
        <is>
          <t>Miraflores</t>
        </is>
      </c>
      <c r="D448" t="inlineStr">
        <is>
          <t>30/08/2026</t>
        </is>
      </c>
      <c r="E448" t="n">
        <v>13</v>
      </c>
      <c r="F448" t="n">
        <v>0</v>
      </c>
      <c r="G448">
        <f>E10272+F10272</f>
        <v/>
      </c>
    </row>
    <row r="449">
      <c r="A449" t="inlineStr">
        <is>
          <t>37198784</t>
        </is>
      </c>
      <c r="B449" t="inlineStr">
        <is>
          <t>PRODUCTO F9A206</t>
        </is>
      </c>
      <c r="C449" t="inlineStr">
        <is>
          <t>Salaverry</t>
        </is>
      </c>
      <c r="D449" t="inlineStr">
        <is>
          <t>30/08/2026</t>
        </is>
      </c>
      <c r="E449" t="n">
        <v>14</v>
      </c>
      <c r="F449" t="n">
        <v>0</v>
      </c>
      <c r="G449">
        <f>E10281+F10281</f>
        <v/>
      </c>
    </row>
    <row r="450">
      <c r="A450" t="inlineStr">
        <is>
          <t>37198784</t>
        </is>
      </c>
      <c r="B450" t="inlineStr">
        <is>
          <t>PRODUCTO F9A206</t>
        </is>
      </c>
      <c r="C450" t="inlineStr">
        <is>
          <t>San Borja</t>
        </is>
      </c>
      <c r="D450" t="inlineStr">
        <is>
          <t>30/08/2026</t>
        </is>
      </c>
      <c r="E450" t="n">
        <v>14</v>
      </c>
      <c r="F450" t="n">
        <v>0</v>
      </c>
      <c r="G450">
        <f>E10282+F10282</f>
        <v/>
      </c>
    </row>
    <row r="451">
      <c r="A451" t="inlineStr">
        <is>
          <t>37198784</t>
        </is>
      </c>
      <c r="B451" t="inlineStr">
        <is>
          <t>PRODUCTO F9A206</t>
        </is>
      </c>
      <c r="C451" t="inlineStr">
        <is>
          <t>Piura</t>
        </is>
      </c>
      <c r="D451" t="inlineStr">
        <is>
          <t>30/08/2026</t>
        </is>
      </c>
      <c r="E451" t="n">
        <v>16</v>
      </c>
      <c r="F451" t="n">
        <v>0</v>
      </c>
      <c r="G451">
        <f>E10288+F10288</f>
        <v/>
      </c>
    </row>
    <row r="452">
      <c r="A452" t="inlineStr">
        <is>
          <t>37198808</t>
        </is>
      </c>
      <c r="B452" t="inlineStr">
        <is>
          <t>PRODUCTO CAFF7F</t>
        </is>
      </c>
      <c r="C452" t="inlineStr">
        <is>
          <t>San Miguel</t>
        </is>
      </c>
      <c r="D452" t="inlineStr">
        <is>
          <t>30/08/2026</t>
        </is>
      </c>
      <c r="E452" t="n">
        <v>3</v>
      </c>
      <c r="F452" t="n">
        <v>0</v>
      </c>
      <c r="G452">
        <f>E10358+F10358</f>
        <v/>
      </c>
    </row>
    <row r="453">
      <c r="A453" t="inlineStr">
        <is>
          <t>37198808</t>
        </is>
      </c>
      <c r="B453" t="inlineStr">
        <is>
          <t>PRODUCTO CAFF7F</t>
        </is>
      </c>
      <c r="C453" t="inlineStr">
        <is>
          <t>Miraflores</t>
        </is>
      </c>
      <c r="D453" t="inlineStr">
        <is>
          <t>30/08/2026</t>
        </is>
      </c>
      <c r="E453" t="n">
        <v>2</v>
      </c>
      <c r="F453" t="n">
        <v>0</v>
      </c>
      <c r="G453">
        <f>E10359+F10359</f>
        <v/>
      </c>
    </row>
    <row r="454">
      <c r="A454" t="inlineStr">
        <is>
          <t>37227013</t>
        </is>
      </c>
      <c r="B454" t="inlineStr">
        <is>
          <t>PRODUCTO FE2A5F</t>
        </is>
      </c>
      <c r="C454" t="inlineStr">
        <is>
          <t>Jockey Plaza</t>
        </is>
      </c>
      <c r="D454" t="inlineStr">
        <is>
          <t>30/08/2026</t>
        </is>
      </c>
      <c r="E454" t="n">
        <v>3</v>
      </c>
      <c r="F454" t="n">
        <v>0</v>
      </c>
      <c r="G454">
        <f>E10512+F10512</f>
        <v/>
      </c>
    </row>
    <row r="455">
      <c r="A455" t="inlineStr">
        <is>
          <t>37227249</t>
        </is>
      </c>
      <c r="B455" t="inlineStr">
        <is>
          <t>PRODUCTO FD8318</t>
        </is>
      </c>
      <c r="C455" t="inlineStr">
        <is>
          <t>Jockey Plaza</t>
        </is>
      </c>
      <c r="D455" t="inlineStr">
        <is>
          <t>30/08/2026</t>
        </is>
      </c>
      <c r="E455" t="n">
        <v>28</v>
      </c>
      <c r="F455" t="n">
        <v>0</v>
      </c>
      <c r="G455">
        <f>E10538+F10538</f>
        <v/>
      </c>
    </row>
    <row r="456">
      <c r="A456" t="inlineStr">
        <is>
          <t>37227249</t>
        </is>
      </c>
      <c r="B456" t="inlineStr">
        <is>
          <t>PRODUCTO FD8318</t>
        </is>
      </c>
      <c r="C456" t="inlineStr">
        <is>
          <t>San Miguel</t>
        </is>
      </c>
      <c r="D456" t="inlineStr">
        <is>
          <t>30/08/2026</t>
        </is>
      </c>
      <c r="E456" t="n">
        <v>37</v>
      </c>
      <c r="F456" t="n">
        <v>0</v>
      </c>
      <c r="G456">
        <f>E10539+F10539</f>
        <v/>
      </c>
    </row>
    <row r="457">
      <c r="A457" t="inlineStr">
        <is>
          <t>37227249</t>
        </is>
      </c>
      <c r="B457" t="inlineStr">
        <is>
          <t>PRODUCTO FD8318</t>
        </is>
      </c>
      <c r="C457" t="inlineStr">
        <is>
          <t>Miraflores</t>
        </is>
      </c>
      <c r="D457" t="inlineStr">
        <is>
          <t>30/08/2026</t>
        </is>
      </c>
      <c r="E457" t="n">
        <v>23</v>
      </c>
      <c r="F457" t="n">
        <v>0</v>
      </c>
      <c r="G457">
        <f>E10540+F10540</f>
        <v/>
      </c>
    </row>
    <row r="458">
      <c r="A458" t="inlineStr">
        <is>
          <t>37227249</t>
        </is>
      </c>
      <c r="B458" t="inlineStr">
        <is>
          <t>PRODUCTO FD8318</t>
        </is>
      </c>
      <c r="C458" t="inlineStr">
        <is>
          <t>Salaverry</t>
        </is>
      </c>
      <c r="D458" t="inlineStr">
        <is>
          <t>30/08/2026</t>
        </is>
      </c>
      <c r="E458" t="n">
        <v>21</v>
      </c>
      <c r="F458" t="n">
        <v>0</v>
      </c>
      <c r="G458">
        <f>E10546+F10546</f>
        <v/>
      </c>
    </row>
    <row r="459">
      <c r="A459" t="inlineStr">
        <is>
          <t>37227249</t>
        </is>
      </c>
      <c r="B459" t="inlineStr">
        <is>
          <t>PRODUCTO FD8318</t>
        </is>
      </c>
      <c r="C459" t="inlineStr">
        <is>
          <t>San Borja</t>
        </is>
      </c>
      <c r="D459" t="inlineStr">
        <is>
          <t>30/08/2026</t>
        </is>
      </c>
      <c r="E459" t="n">
        <v>22</v>
      </c>
      <c r="F459" t="n">
        <v>0</v>
      </c>
      <c r="G459">
        <f>E10547+F10547</f>
        <v/>
      </c>
    </row>
    <row r="460">
      <c r="A460" t="inlineStr">
        <is>
          <t>37230052</t>
        </is>
      </c>
      <c r="B460" t="inlineStr">
        <is>
          <t>PRODUCTO 5DCA40</t>
        </is>
      </c>
      <c r="C460" t="inlineStr">
        <is>
          <t>Jockey Plaza</t>
        </is>
      </c>
      <c r="D460" t="inlineStr">
        <is>
          <t>30/08/2026</t>
        </is>
      </c>
      <c r="E460" t="n">
        <v>2</v>
      </c>
      <c r="F460" t="n">
        <v>0</v>
      </c>
      <c r="G460">
        <f>E10586+F10586</f>
        <v/>
      </c>
    </row>
    <row r="461">
      <c r="A461" t="inlineStr">
        <is>
          <t>37261659</t>
        </is>
      </c>
      <c r="B461" t="inlineStr">
        <is>
          <t>PRODUCTO 0DD0C3</t>
        </is>
      </c>
      <c r="C461" t="inlineStr">
        <is>
          <t>Jockey Plaza</t>
        </is>
      </c>
      <c r="D461" t="inlineStr">
        <is>
          <t>30/08/2026</t>
        </is>
      </c>
      <c r="E461" t="n">
        <v>14</v>
      </c>
      <c r="F461" t="n">
        <v>0</v>
      </c>
      <c r="G461">
        <f>E10668+F10668</f>
        <v/>
      </c>
    </row>
    <row r="462">
      <c r="A462" t="inlineStr">
        <is>
          <t>37261659</t>
        </is>
      </c>
      <c r="B462" t="inlineStr">
        <is>
          <t>PRODUCTO 0DD0C3</t>
        </is>
      </c>
      <c r="C462" t="inlineStr">
        <is>
          <t>San Miguel</t>
        </is>
      </c>
      <c r="D462" t="inlineStr">
        <is>
          <t>30/08/2026</t>
        </is>
      </c>
      <c r="E462" t="n">
        <v>18</v>
      </c>
      <c r="F462" t="n">
        <v>0</v>
      </c>
      <c r="G462">
        <f>E10669+F10669</f>
        <v/>
      </c>
    </row>
    <row r="463">
      <c r="A463" t="inlineStr">
        <is>
          <t>37261659</t>
        </is>
      </c>
      <c r="B463" t="inlineStr">
        <is>
          <t>PRODUCTO 0DD0C3</t>
        </is>
      </c>
      <c r="C463" t="inlineStr">
        <is>
          <t>Miraflores</t>
        </is>
      </c>
      <c r="D463" t="inlineStr">
        <is>
          <t>30/08/2026</t>
        </is>
      </c>
      <c r="E463" t="n">
        <v>16</v>
      </c>
      <c r="F463" t="n">
        <v>0</v>
      </c>
      <c r="G463">
        <f>E10670+F10670</f>
        <v/>
      </c>
    </row>
    <row r="464">
      <c r="A464" t="inlineStr">
        <is>
          <t>37261659</t>
        </is>
      </c>
      <c r="B464" t="inlineStr">
        <is>
          <t>PRODUCTO 0DD0C3</t>
        </is>
      </c>
      <c r="C464" t="inlineStr">
        <is>
          <t>Salaverry</t>
        </is>
      </c>
      <c r="D464" t="inlineStr">
        <is>
          <t>30/08/2026</t>
        </is>
      </c>
      <c r="E464" t="n">
        <v>7</v>
      </c>
      <c r="F464" t="n">
        <v>0</v>
      </c>
      <c r="G464">
        <f>E10674+F10674</f>
        <v/>
      </c>
    </row>
    <row r="465">
      <c r="A465" t="inlineStr">
        <is>
          <t>37261659</t>
        </is>
      </c>
      <c r="B465" t="inlineStr">
        <is>
          <t>PRODUCTO 0DD0C3</t>
        </is>
      </c>
      <c r="C465" t="inlineStr">
        <is>
          <t>San Borja</t>
        </is>
      </c>
      <c r="D465" t="inlineStr">
        <is>
          <t>30/08/2026</t>
        </is>
      </c>
      <c r="E465" t="n">
        <v>10</v>
      </c>
      <c r="F465" t="n">
        <v>0</v>
      </c>
      <c r="G465">
        <f>E10675+F10675</f>
        <v/>
      </c>
    </row>
    <row r="466">
      <c r="A466" t="inlineStr">
        <is>
          <t>37261672</t>
        </is>
      </c>
      <c r="B466" t="inlineStr">
        <is>
          <t>PRODUCTO E461F7</t>
        </is>
      </c>
      <c r="C466" t="inlineStr">
        <is>
          <t>Salaverry</t>
        </is>
      </c>
      <c r="D466" t="inlineStr">
        <is>
          <t>30/08/2026</t>
        </is>
      </c>
      <c r="E466" t="n">
        <v>2</v>
      </c>
      <c r="F466" t="n">
        <v>0</v>
      </c>
      <c r="G466">
        <f>E10679+F10679</f>
        <v/>
      </c>
    </row>
    <row r="467">
      <c r="A467" t="inlineStr">
        <is>
          <t>37261672</t>
        </is>
      </c>
      <c r="B467" t="inlineStr">
        <is>
          <t>PRODUCTO E461F7</t>
        </is>
      </c>
      <c r="C467" t="inlineStr">
        <is>
          <t>San Borja</t>
        </is>
      </c>
      <c r="D467" t="inlineStr">
        <is>
          <t>30/08/2026</t>
        </is>
      </c>
      <c r="E467" t="n">
        <v>2</v>
      </c>
      <c r="F467" t="n">
        <v>0</v>
      </c>
      <c r="G467">
        <f>E10680+F10680</f>
        <v/>
      </c>
    </row>
    <row r="468">
      <c r="A468" t="inlineStr">
        <is>
          <t>37291958</t>
        </is>
      </c>
      <c r="B468" t="inlineStr">
        <is>
          <t>PRODUCTO 6533AC</t>
        </is>
      </c>
      <c r="C468" t="inlineStr">
        <is>
          <t>Jockey Plaza</t>
        </is>
      </c>
      <c r="D468" t="inlineStr">
        <is>
          <t>30/08/2026</t>
        </is>
      </c>
      <c r="E468" t="n">
        <v>13</v>
      </c>
      <c r="F468" t="n">
        <v>0</v>
      </c>
      <c r="G468">
        <f>E10714+F10714</f>
        <v/>
      </c>
    </row>
    <row r="469">
      <c r="A469" t="inlineStr">
        <is>
          <t>37291958</t>
        </is>
      </c>
      <c r="B469" t="inlineStr">
        <is>
          <t>PRODUCTO 6533AC</t>
        </is>
      </c>
      <c r="C469" t="inlineStr">
        <is>
          <t>Miraflores</t>
        </is>
      </c>
      <c r="D469" t="inlineStr">
        <is>
          <t>30/08/2026</t>
        </is>
      </c>
      <c r="E469" t="n">
        <v>8</v>
      </c>
      <c r="F469" t="n">
        <v>0</v>
      </c>
      <c r="G469">
        <f>E10715+F10715</f>
        <v/>
      </c>
    </row>
    <row r="470">
      <c r="A470" t="inlineStr">
        <is>
          <t>37291958</t>
        </is>
      </c>
      <c r="B470" t="inlineStr">
        <is>
          <t>PRODUCTO 6533AC</t>
        </is>
      </c>
      <c r="C470" t="inlineStr">
        <is>
          <t>Salaverry</t>
        </is>
      </c>
      <c r="D470" t="inlineStr">
        <is>
          <t>30/08/2026</t>
        </is>
      </c>
      <c r="E470" t="n">
        <v>8</v>
      </c>
      <c r="F470" t="n">
        <v>0</v>
      </c>
      <c r="G470">
        <f>E10718+F10718</f>
        <v/>
      </c>
    </row>
    <row r="471">
      <c r="A471" t="inlineStr">
        <is>
          <t>37291958</t>
        </is>
      </c>
      <c r="B471" t="inlineStr">
        <is>
          <t>PRODUCTO 6533AC</t>
        </is>
      </c>
      <c r="C471" t="inlineStr">
        <is>
          <t>San Borja</t>
        </is>
      </c>
      <c r="D471" t="inlineStr">
        <is>
          <t>30/08/2026</t>
        </is>
      </c>
      <c r="E471" t="n">
        <v>10</v>
      </c>
      <c r="F471" t="n">
        <v>0</v>
      </c>
      <c r="G471">
        <f>E10719+F10719</f>
        <v/>
      </c>
    </row>
    <row r="472">
      <c r="A472" t="inlineStr">
        <is>
          <t>37291984</t>
        </is>
      </c>
      <c r="B472" t="inlineStr">
        <is>
          <t>PRODUCTO 98AFAB</t>
        </is>
      </c>
      <c r="C472" t="inlineStr">
        <is>
          <t>Jockey Plaza</t>
        </is>
      </c>
      <c r="D472" t="inlineStr">
        <is>
          <t>30/08/2026</t>
        </is>
      </c>
      <c r="E472" t="n">
        <v>6</v>
      </c>
      <c r="F472" t="n">
        <v>0</v>
      </c>
      <c r="G472">
        <f>E10732+F10732</f>
        <v/>
      </c>
    </row>
    <row r="473">
      <c r="A473" t="inlineStr">
        <is>
          <t>37291984</t>
        </is>
      </c>
      <c r="B473" t="inlineStr">
        <is>
          <t>PRODUCTO 98AFAB</t>
        </is>
      </c>
      <c r="C473" t="inlineStr">
        <is>
          <t>San Miguel</t>
        </is>
      </c>
      <c r="D473" t="inlineStr">
        <is>
          <t>30/08/2026</t>
        </is>
      </c>
      <c r="E473" t="n">
        <v>2</v>
      </c>
      <c r="F473" t="n">
        <v>0</v>
      </c>
      <c r="G473">
        <f>E10733+F10733</f>
        <v/>
      </c>
    </row>
    <row r="474">
      <c r="A474" t="inlineStr">
        <is>
          <t>37291984</t>
        </is>
      </c>
      <c r="B474" t="inlineStr">
        <is>
          <t>PRODUCTO 98AFAB</t>
        </is>
      </c>
      <c r="C474" t="inlineStr">
        <is>
          <t>Miraflores</t>
        </is>
      </c>
      <c r="D474" t="inlineStr">
        <is>
          <t>30/08/2026</t>
        </is>
      </c>
      <c r="E474" t="n">
        <v>8</v>
      </c>
      <c r="F474" t="n">
        <v>0</v>
      </c>
      <c r="G474">
        <f>E10734+F10734</f>
        <v/>
      </c>
    </row>
    <row r="475">
      <c r="A475" t="inlineStr">
        <is>
          <t>37291984</t>
        </is>
      </c>
      <c r="B475" t="inlineStr">
        <is>
          <t>PRODUCTO 98AFAB</t>
        </is>
      </c>
      <c r="C475" t="inlineStr">
        <is>
          <t>Salaverry</t>
        </is>
      </c>
      <c r="D475" t="inlineStr">
        <is>
          <t>30/08/2026</t>
        </is>
      </c>
      <c r="E475" t="n">
        <v>7</v>
      </c>
      <c r="F475" t="n">
        <v>0</v>
      </c>
      <c r="G475">
        <f>E10738+F10738</f>
        <v/>
      </c>
    </row>
    <row r="476">
      <c r="A476" t="inlineStr">
        <is>
          <t>37291984</t>
        </is>
      </c>
      <c r="B476" t="inlineStr">
        <is>
          <t>PRODUCTO 98AFAB</t>
        </is>
      </c>
      <c r="C476" t="inlineStr">
        <is>
          <t>San Borja</t>
        </is>
      </c>
      <c r="D476" t="inlineStr">
        <is>
          <t>30/08/2026</t>
        </is>
      </c>
      <c r="E476" t="n">
        <v>3</v>
      </c>
      <c r="F476" t="n">
        <v>0</v>
      </c>
      <c r="G476">
        <f>E10739+F10739</f>
        <v/>
      </c>
    </row>
    <row r="477">
      <c r="A477" t="inlineStr">
        <is>
          <t>37303728</t>
        </is>
      </c>
      <c r="B477" t="inlineStr">
        <is>
          <t>PRODUCTO EADA1A</t>
        </is>
      </c>
      <c r="C477" t="inlineStr">
        <is>
          <t>Jockey Plaza</t>
        </is>
      </c>
      <c r="D477" t="inlineStr">
        <is>
          <t>30/08/2026</t>
        </is>
      </c>
      <c r="E477" t="n">
        <v>12</v>
      </c>
      <c r="F477" t="n">
        <v>0</v>
      </c>
      <c r="G477">
        <f>E10848+F10848</f>
        <v/>
      </c>
    </row>
    <row r="478">
      <c r="A478" t="inlineStr">
        <is>
          <t>37303728</t>
        </is>
      </c>
      <c r="B478" t="inlineStr">
        <is>
          <t>PRODUCTO EADA1A</t>
        </is>
      </c>
      <c r="C478" t="inlineStr">
        <is>
          <t>San Miguel</t>
        </is>
      </c>
      <c r="D478" t="inlineStr">
        <is>
          <t>30/08/2026</t>
        </is>
      </c>
      <c r="E478" t="n">
        <v>15</v>
      </c>
      <c r="F478" t="n">
        <v>0</v>
      </c>
      <c r="G478">
        <f>E10849+F10849</f>
        <v/>
      </c>
    </row>
    <row r="479">
      <c r="A479" t="inlineStr">
        <is>
          <t>37303728</t>
        </is>
      </c>
      <c r="B479" t="inlineStr">
        <is>
          <t>PRODUCTO EADA1A</t>
        </is>
      </c>
      <c r="C479" t="inlineStr">
        <is>
          <t>Miraflores</t>
        </is>
      </c>
      <c r="D479" t="inlineStr">
        <is>
          <t>30/08/2026</t>
        </is>
      </c>
      <c r="E479" t="n">
        <v>31</v>
      </c>
      <c r="F479" t="n">
        <v>0</v>
      </c>
      <c r="G479">
        <f>E10850+F10850</f>
        <v/>
      </c>
    </row>
    <row r="480">
      <c r="A480" t="inlineStr">
        <is>
          <t>37303728</t>
        </is>
      </c>
      <c r="B480" t="inlineStr">
        <is>
          <t>PRODUCTO EADA1A</t>
        </is>
      </c>
      <c r="C480" t="inlineStr">
        <is>
          <t>Salaverry</t>
        </is>
      </c>
      <c r="D480" t="inlineStr">
        <is>
          <t>30/08/2026</t>
        </is>
      </c>
      <c r="E480" t="n">
        <v>28</v>
      </c>
      <c r="F480" t="n">
        <v>0</v>
      </c>
      <c r="G480">
        <f>E10859+F10859</f>
        <v/>
      </c>
    </row>
    <row r="481">
      <c r="A481" t="inlineStr">
        <is>
          <t>37303728</t>
        </is>
      </c>
      <c r="B481" t="inlineStr">
        <is>
          <t>PRODUCTO EADA1A</t>
        </is>
      </c>
      <c r="C481" t="inlineStr">
        <is>
          <t>San Borja</t>
        </is>
      </c>
      <c r="D481" t="inlineStr">
        <is>
          <t>30/08/2026</t>
        </is>
      </c>
      <c r="E481" t="n">
        <v>26</v>
      </c>
      <c r="F481" t="n">
        <v>1</v>
      </c>
      <c r="G481">
        <f>E10860+F10860</f>
        <v/>
      </c>
    </row>
    <row r="482">
      <c r="A482" t="inlineStr">
        <is>
          <t>37303728</t>
        </is>
      </c>
      <c r="B482" t="inlineStr">
        <is>
          <t>PRODUCTO EADA1A</t>
        </is>
      </c>
      <c r="C482" t="inlineStr">
        <is>
          <t>Piura</t>
        </is>
      </c>
      <c r="D482" t="inlineStr">
        <is>
          <t>30/08/2026</t>
        </is>
      </c>
      <c r="E482" t="n">
        <v>24</v>
      </c>
      <c r="F482" t="n">
        <v>0</v>
      </c>
      <c r="G482">
        <f>E10866+F10866</f>
        <v/>
      </c>
    </row>
    <row r="483">
      <c r="A483" t="inlineStr">
        <is>
          <t>37303749</t>
        </is>
      </c>
      <c r="B483" t="inlineStr">
        <is>
          <t>PRODUCTO 4335BB</t>
        </is>
      </c>
      <c r="C483" t="inlineStr">
        <is>
          <t>Jockey Plaza</t>
        </is>
      </c>
      <c r="D483" t="inlineStr">
        <is>
          <t>30/08/2026</t>
        </is>
      </c>
      <c r="E483" t="n">
        <v>4</v>
      </c>
      <c r="F483" t="n">
        <v>0</v>
      </c>
      <c r="G483">
        <f>E10874+F10874</f>
        <v/>
      </c>
    </row>
    <row r="484">
      <c r="A484" t="inlineStr">
        <is>
          <t>37303749</t>
        </is>
      </c>
      <c r="B484" t="inlineStr">
        <is>
          <t>PRODUCTO 4335BB</t>
        </is>
      </c>
      <c r="C484" t="inlineStr">
        <is>
          <t>San Miguel</t>
        </is>
      </c>
      <c r="D484" t="inlineStr">
        <is>
          <t>30/08/2026</t>
        </is>
      </c>
      <c r="E484" t="n">
        <v>4</v>
      </c>
      <c r="F484" t="n">
        <v>0</v>
      </c>
      <c r="G484">
        <f>E10875+F10875</f>
        <v/>
      </c>
    </row>
    <row r="485">
      <c r="A485" t="inlineStr">
        <is>
          <t>37303749</t>
        </is>
      </c>
      <c r="B485" t="inlineStr">
        <is>
          <t>PRODUCTO 4335BB</t>
        </is>
      </c>
      <c r="C485" t="inlineStr">
        <is>
          <t>Miraflores</t>
        </is>
      </c>
      <c r="D485" t="inlineStr">
        <is>
          <t>30/08/2026</t>
        </is>
      </c>
      <c r="E485" t="n">
        <v>1</v>
      </c>
      <c r="F485" t="n">
        <v>0</v>
      </c>
      <c r="G485">
        <f>E10876+F10876</f>
        <v/>
      </c>
    </row>
    <row r="486">
      <c r="A486" t="inlineStr">
        <is>
          <t>37303749</t>
        </is>
      </c>
      <c r="B486" t="inlineStr">
        <is>
          <t>PRODUCTO 4335BB</t>
        </is>
      </c>
      <c r="C486" t="inlineStr">
        <is>
          <t>Salaverry</t>
        </is>
      </c>
      <c r="D486" t="inlineStr">
        <is>
          <t>30/08/2026</t>
        </is>
      </c>
      <c r="E486" t="n">
        <v>4</v>
      </c>
      <c r="F486" t="n">
        <v>0</v>
      </c>
      <c r="G486">
        <f>E10881+F10881</f>
        <v/>
      </c>
    </row>
    <row r="487">
      <c r="A487" t="inlineStr">
        <is>
          <t>37303749</t>
        </is>
      </c>
      <c r="B487" t="inlineStr">
        <is>
          <t>PRODUCTO 4335BB</t>
        </is>
      </c>
      <c r="C487" t="inlineStr">
        <is>
          <t>San Borja</t>
        </is>
      </c>
      <c r="D487" t="inlineStr">
        <is>
          <t>30/08/2026</t>
        </is>
      </c>
      <c r="E487" t="n">
        <v>1</v>
      </c>
      <c r="F487" t="n">
        <v>0</v>
      </c>
      <c r="G487">
        <f>E10882+F10882</f>
        <v/>
      </c>
    </row>
    <row r="488">
      <c r="A488" t="inlineStr">
        <is>
          <t>37313683</t>
        </is>
      </c>
      <c r="B488" t="inlineStr">
        <is>
          <t>PRODUCTO D53ED5</t>
        </is>
      </c>
      <c r="C488" t="inlineStr">
        <is>
          <t>Piura</t>
        </is>
      </c>
      <c r="D488" t="inlineStr">
        <is>
          <t>30/08/2026</t>
        </is>
      </c>
      <c r="E488" t="n">
        <v>3</v>
      </c>
      <c r="F488" t="n">
        <v>0</v>
      </c>
      <c r="G488">
        <f>E11035+F11035</f>
        <v/>
      </c>
    </row>
    <row r="489">
      <c r="A489" t="inlineStr">
        <is>
          <t>37313696</t>
        </is>
      </c>
      <c r="B489" t="inlineStr">
        <is>
          <t>PRODUCTO 8B71C7</t>
        </is>
      </c>
      <c r="C489" t="inlineStr">
        <is>
          <t>Piura</t>
        </is>
      </c>
      <c r="D489" t="inlineStr">
        <is>
          <t>30/08/2026</t>
        </is>
      </c>
      <c r="E489" t="n">
        <v>5</v>
      </c>
      <c r="F489" t="n">
        <v>0</v>
      </c>
      <c r="G489">
        <f>E11037+F11037</f>
        <v/>
      </c>
    </row>
    <row r="490">
      <c r="A490" t="inlineStr">
        <is>
          <t>37341237</t>
        </is>
      </c>
      <c r="B490" t="inlineStr">
        <is>
          <t>PRODUCTO 12D54E</t>
        </is>
      </c>
      <c r="C490" t="inlineStr">
        <is>
          <t>Jockey Plaza</t>
        </is>
      </c>
      <c r="D490" t="inlineStr">
        <is>
          <t>30/08/2026</t>
        </is>
      </c>
      <c r="E490" t="n">
        <v>13</v>
      </c>
      <c r="F490" t="n">
        <v>0</v>
      </c>
      <c r="G490">
        <f>E11172+F11172</f>
        <v/>
      </c>
    </row>
    <row r="491">
      <c r="A491" t="inlineStr">
        <is>
          <t>37341237</t>
        </is>
      </c>
      <c r="B491" t="inlineStr">
        <is>
          <t>PRODUCTO 12D54E</t>
        </is>
      </c>
      <c r="C491" t="inlineStr">
        <is>
          <t>San Miguel</t>
        </is>
      </c>
      <c r="D491" t="inlineStr">
        <is>
          <t>30/08/2026</t>
        </is>
      </c>
      <c r="E491" t="n">
        <v>12</v>
      </c>
      <c r="F491" t="n">
        <v>0</v>
      </c>
      <c r="G491">
        <f>E11173+F11173</f>
        <v/>
      </c>
    </row>
    <row r="492">
      <c r="A492" t="inlineStr">
        <is>
          <t>37341237</t>
        </is>
      </c>
      <c r="B492" t="inlineStr">
        <is>
          <t>PRODUCTO 12D54E</t>
        </is>
      </c>
      <c r="C492" t="inlineStr">
        <is>
          <t>Miraflores</t>
        </is>
      </c>
      <c r="D492" t="inlineStr">
        <is>
          <t>30/08/2026</t>
        </is>
      </c>
      <c r="E492" t="n">
        <v>9</v>
      </c>
      <c r="F492" t="n">
        <v>0</v>
      </c>
      <c r="G492">
        <f>E11174+F11174</f>
        <v/>
      </c>
    </row>
    <row r="493">
      <c r="A493" t="inlineStr">
        <is>
          <t>37341237</t>
        </is>
      </c>
      <c r="B493" t="inlineStr">
        <is>
          <t>PRODUCTO 12D54E</t>
        </is>
      </c>
      <c r="C493" t="inlineStr">
        <is>
          <t>Salaverry</t>
        </is>
      </c>
      <c r="D493" t="inlineStr">
        <is>
          <t>30/08/2026</t>
        </is>
      </c>
      <c r="E493" t="n">
        <v>16</v>
      </c>
      <c r="F493" t="n">
        <v>0</v>
      </c>
      <c r="G493">
        <f>E11181+F11181</f>
        <v/>
      </c>
    </row>
    <row r="494">
      <c r="A494" t="inlineStr">
        <is>
          <t>37341237</t>
        </is>
      </c>
      <c r="B494" t="inlineStr">
        <is>
          <t>PRODUCTO 12D54E</t>
        </is>
      </c>
      <c r="C494" t="inlineStr">
        <is>
          <t>San Borja</t>
        </is>
      </c>
      <c r="D494" t="inlineStr">
        <is>
          <t>30/08/2026</t>
        </is>
      </c>
      <c r="E494" t="n">
        <v>10</v>
      </c>
      <c r="F494" t="n">
        <v>0</v>
      </c>
      <c r="G494">
        <f>E11182+F11182</f>
        <v/>
      </c>
    </row>
    <row r="495">
      <c r="A495" t="inlineStr">
        <is>
          <t>37351821</t>
        </is>
      </c>
      <c r="B495" t="inlineStr">
        <is>
          <t>PRODUCTO A1DEDF</t>
        </is>
      </c>
      <c r="C495" t="inlineStr">
        <is>
          <t>Jockey Plaza</t>
        </is>
      </c>
      <c r="D495" t="inlineStr">
        <is>
          <t>30/08/2026</t>
        </is>
      </c>
      <c r="E495" t="n">
        <v>31</v>
      </c>
      <c r="F495" t="n">
        <v>0</v>
      </c>
      <c r="G495">
        <f>E11323+F11323</f>
        <v/>
      </c>
    </row>
    <row r="496">
      <c r="A496" t="inlineStr">
        <is>
          <t>37351917</t>
        </is>
      </c>
      <c r="B496" t="inlineStr">
        <is>
          <t>PRODUCTO 33A73F</t>
        </is>
      </c>
      <c r="C496" t="inlineStr">
        <is>
          <t>Jockey Plaza</t>
        </is>
      </c>
      <c r="D496" t="inlineStr">
        <is>
          <t>30/08/2026</t>
        </is>
      </c>
      <c r="E496" t="n">
        <v>36</v>
      </c>
      <c r="F496" t="n">
        <v>0</v>
      </c>
      <c r="G496">
        <f>E11344+F11344</f>
        <v/>
      </c>
    </row>
    <row r="497">
      <c r="A497" t="inlineStr">
        <is>
          <t>37351917</t>
        </is>
      </c>
      <c r="B497" t="inlineStr">
        <is>
          <t>PRODUCTO 33A73F</t>
        </is>
      </c>
      <c r="C497" t="inlineStr">
        <is>
          <t>Miraflores</t>
        </is>
      </c>
      <c r="D497" t="inlineStr">
        <is>
          <t>30/08/2026</t>
        </is>
      </c>
      <c r="E497" t="n">
        <v>31</v>
      </c>
      <c r="F497" t="n">
        <v>0</v>
      </c>
      <c r="G497">
        <f>E11345+F11345</f>
        <v/>
      </c>
    </row>
    <row r="498">
      <c r="A498" t="inlineStr">
        <is>
          <t>37374984</t>
        </is>
      </c>
      <c r="B498" t="inlineStr">
        <is>
          <t>PRODUCTO 3E21AC</t>
        </is>
      </c>
      <c r="C498" t="inlineStr">
        <is>
          <t>Piura</t>
        </is>
      </c>
      <c r="D498" t="inlineStr">
        <is>
          <t>30/08/2026</t>
        </is>
      </c>
      <c r="E498" t="n">
        <v>10</v>
      </c>
      <c r="F498" t="n">
        <v>0</v>
      </c>
      <c r="G498">
        <f>E11567+F11567</f>
        <v/>
      </c>
    </row>
    <row r="499">
      <c r="A499" t="inlineStr">
        <is>
          <t>37375056</t>
        </is>
      </c>
      <c r="B499" t="inlineStr">
        <is>
          <t>PRODUCTO BA9075</t>
        </is>
      </c>
      <c r="C499" t="inlineStr">
        <is>
          <t>Miraflores</t>
        </is>
      </c>
      <c r="D499" t="inlineStr">
        <is>
          <t>30/08/2026</t>
        </is>
      </c>
      <c r="E499" t="n">
        <v>4</v>
      </c>
      <c r="F499" t="n">
        <v>0</v>
      </c>
      <c r="G499">
        <f>E11604+F11604</f>
        <v/>
      </c>
    </row>
    <row r="500">
      <c r="A500" t="inlineStr">
        <is>
          <t>37375061</t>
        </is>
      </c>
      <c r="B500" t="inlineStr">
        <is>
          <t>PRODUCTO 8DFA25</t>
        </is>
      </c>
      <c r="C500" t="inlineStr">
        <is>
          <t>Miraflores</t>
        </is>
      </c>
      <c r="D500" t="inlineStr">
        <is>
          <t>30/08/2026</t>
        </is>
      </c>
      <c r="E500" t="n">
        <v>10</v>
      </c>
      <c r="F500" t="n">
        <v>0</v>
      </c>
      <c r="G500">
        <f>E11606+F11606</f>
        <v/>
      </c>
    </row>
    <row r="501">
      <c r="A501" t="inlineStr">
        <is>
          <t>37375070</t>
        </is>
      </c>
      <c r="B501" t="inlineStr">
        <is>
          <t>PRODUCTO 94AA8D</t>
        </is>
      </c>
      <c r="C501" t="inlineStr">
        <is>
          <t>Jockey Plaza</t>
        </is>
      </c>
      <c r="D501" t="inlineStr">
        <is>
          <t>30/08/2026</t>
        </is>
      </c>
      <c r="E501" t="n">
        <v>7</v>
      </c>
      <c r="F501" t="n">
        <v>0</v>
      </c>
      <c r="G501">
        <f>E11607+F11607</f>
        <v/>
      </c>
    </row>
    <row r="502">
      <c r="A502" t="inlineStr">
        <is>
          <t>37375070</t>
        </is>
      </c>
      <c r="B502" t="inlineStr">
        <is>
          <t>PRODUCTO 94AA8D</t>
        </is>
      </c>
      <c r="C502" t="inlineStr">
        <is>
          <t>San Miguel</t>
        </is>
      </c>
      <c r="D502" t="inlineStr">
        <is>
          <t>30/08/2026</t>
        </is>
      </c>
      <c r="E502" t="n">
        <v>6</v>
      </c>
      <c r="F502" t="n">
        <v>0</v>
      </c>
      <c r="G502">
        <f>E11608+F11608</f>
        <v/>
      </c>
    </row>
    <row r="503">
      <c r="A503" t="inlineStr">
        <is>
          <t>37375070</t>
        </is>
      </c>
      <c r="B503" t="inlineStr">
        <is>
          <t>PRODUCTO 94AA8D</t>
        </is>
      </c>
      <c r="C503" t="inlineStr">
        <is>
          <t>Miraflores</t>
        </is>
      </c>
      <c r="D503" t="inlineStr">
        <is>
          <t>30/08/2026</t>
        </is>
      </c>
      <c r="E503" t="n">
        <v>15</v>
      </c>
      <c r="F503" t="n">
        <v>0</v>
      </c>
      <c r="G503">
        <f>E11609+F11609</f>
        <v/>
      </c>
    </row>
    <row r="504">
      <c r="A504" t="inlineStr">
        <is>
          <t>37375070</t>
        </is>
      </c>
      <c r="B504" t="inlineStr">
        <is>
          <t>PRODUCTO 94AA8D</t>
        </is>
      </c>
      <c r="C504" t="inlineStr">
        <is>
          <t>Salaverry</t>
        </is>
      </c>
      <c r="D504" t="inlineStr">
        <is>
          <t>30/08/2026</t>
        </is>
      </c>
      <c r="E504" t="n">
        <v>8</v>
      </c>
      <c r="F504" t="n">
        <v>0</v>
      </c>
      <c r="G504">
        <f>E11611+F11611</f>
        <v/>
      </c>
    </row>
    <row r="505">
      <c r="A505" t="inlineStr">
        <is>
          <t>37375070</t>
        </is>
      </c>
      <c r="B505" t="inlineStr">
        <is>
          <t>PRODUCTO 94AA8D</t>
        </is>
      </c>
      <c r="C505" t="inlineStr">
        <is>
          <t>San Borja</t>
        </is>
      </c>
      <c r="D505" t="inlineStr">
        <is>
          <t>30/08/2026</t>
        </is>
      </c>
      <c r="E505" t="n">
        <v>7</v>
      </c>
      <c r="F505" t="n">
        <v>0</v>
      </c>
      <c r="G505">
        <f>E11612+F11612</f>
        <v/>
      </c>
    </row>
    <row r="506">
      <c r="A506" t="inlineStr">
        <is>
          <t>37375070</t>
        </is>
      </c>
      <c r="B506" t="inlineStr">
        <is>
          <t>PRODUCTO 94AA8D</t>
        </is>
      </c>
      <c r="C506" t="inlineStr">
        <is>
          <t>Piura</t>
        </is>
      </c>
      <c r="D506" t="inlineStr">
        <is>
          <t>30/08/2026</t>
        </is>
      </c>
      <c r="E506" t="n">
        <v>1</v>
      </c>
      <c r="F506" t="n">
        <v>0</v>
      </c>
      <c r="G506">
        <f>E11614+F11614</f>
        <v/>
      </c>
    </row>
    <row r="507">
      <c r="A507" t="inlineStr">
        <is>
          <t>37375113</t>
        </is>
      </c>
      <c r="B507" t="inlineStr">
        <is>
          <t>PRODUCTO 753F22</t>
        </is>
      </c>
      <c r="C507" t="inlineStr">
        <is>
          <t>Jockey Plaza</t>
        </is>
      </c>
      <c r="D507" t="inlineStr">
        <is>
          <t>30/08/2026</t>
        </is>
      </c>
      <c r="E507" t="n">
        <v>3</v>
      </c>
      <c r="F507" t="n">
        <v>0</v>
      </c>
      <c r="G507">
        <f>E11634+F11634</f>
        <v/>
      </c>
    </row>
    <row r="508">
      <c r="A508" t="inlineStr">
        <is>
          <t>37375113</t>
        </is>
      </c>
      <c r="B508" t="inlineStr">
        <is>
          <t>PRODUCTO 753F22</t>
        </is>
      </c>
      <c r="C508" t="inlineStr">
        <is>
          <t>San Miguel</t>
        </is>
      </c>
      <c r="D508" t="inlineStr">
        <is>
          <t>30/08/2026</t>
        </is>
      </c>
      <c r="E508" t="n">
        <v>5</v>
      </c>
      <c r="F508" t="n">
        <v>0</v>
      </c>
      <c r="G508">
        <f>E11635+F11635</f>
        <v/>
      </c>
    </row>
    <row r="509">
      <c r="A509" t="inlineStr">
        <is>
          <t>37375113</t>
        </is>
      </c>
      <c r="B509" t="inlineStr">
        <is>
          <t>PRODUCTO 753F22</t>
        </is>
      </c>
      <c r="C509" t="inlineStr">
        <is>
          <t>Miraflores</t>
        </is>
      </c>
      <c r="D509" t="inlineStr">
        <is>
          <t>30/08/2026</t>
        </is>
      </c>
      <c r="E509" t="n">
        <v>11</v>
      </c>
      <c r="F509" t="n">
        <v>0</v>
      </c>
      <c r="G509">
        <f>E11636+F11636</f>
        <v/>
      </c>
    </row>
    <row r="510">
      <c r="A510" t="inlineStr">
        <is>
          <t>37375113</t>
        </is>
      </c>
      <c r="B510" t="inlineStr">
        <is>
          <t>PRODUCTO 753F22</t>
        </is>
      </c>
      <c r="C510" t="inlineStr">
        <is>
          <t>Salaverry</t>
        </is>
      </c>
      <c r="D510" t="inlineStr">
        <is>
          <t>30/08/2026</t>
        </is>
      </c>
      <c r="E510" t="n">
        <v>4</v>
      </c>
      <c r="F510" t="n">
        <v>0</v>
      </c>
      <c r="G510">
        <f>E11639+F11639</f>
        <v/>
      </c>
    </row>
    <row r="511">
      <c r="A511" t="inlineStr">
        <is>
          <t>37375113</t>
        </is>
      </c>
      <c r="B511" t="inlineStr">
        <is>
          <t>PRODUCTO 753F22</t>
        </is>
      </c>
      <c r="C511" t="inlineStr">
        <is>
          <t>San Borja</t>
        </is>
      </c>
      <c r="D511" t="inlineStr">
        <is>
          <t>30/08/2026</t>
        </is>
      </c>
      <c r="E511" t="n">
        <v>2</v>
      </c>
      <c r="F511" t="n">
        <v>0</v>
      </c>
      <c r="G511">
        <f>E11640+F11640</f>
        <v/>
      </c>
    </row>
    <row r="512">
      <c r="A512" t="inlineStr">
        <is>
          <t>37375128</t>
        </is>
      </c>
      <c r="B512" t="inlineStr">
        <is>
          <t>PRODUCTO 0E31D7</t>
        </is>
      </c>
      <c r="C512" t="inlineStr">
        <is>
          <t>San Miguel</t>
        </is>
      </c>
      <c r="D512" t="inlineStr">
        <is>
          <t>30/08/2026</t>
        </is>
      </c>
      <c r="E512" t="n">
        <v>3</v>
      </c>
      <c r="F512" t="n">
        <v>0</v>
      </c>
      <c r="G512">
        <f>E11646+F11646</f>
        <v/>
      </c>
    </row>
    <row r="513">
      <c r="A513" t="inlineStr">
        <is>
          <t>37375128</t>
        </is>
      </c>
      <c r="B513" t="inlineStr">
        <is>
          <t>PRODUCTO 0E31D7</t>
        </is>
      </c>
      <c r="C513" t="inlineStr">
        <is>
          <t>Miraflores</t>
        </is>
      </c>
      <c r="D513" t="inlineStr">
        <is>
          <t>30/08/2026</t>
        </is>
      </c>
      <c r="E513" t="n">
        <v>6</v>
      </c>
      <c r="F513" t="n">
        <v>0</v>
      </c>
      <c r="G513">
        <f>E11647+F11647</f>
        <v/>
      </c>
    </row>
    <row r="514">
      <c r="A514" t="inlineStr">
        <is>
          <t>37375128</t>
        </is>
      </c>
      <c r="B514" t="inlineStr">
        <is>
          <t>PRODUCTO 0E31D7</t>
        </is>
      </c>
      <c r="C514" t="inlineStr">
        <is>
          <t>Salaverry</t>
        </is>
      </c>
      <c r="D514" t="inlineStr">
        <is>
          <t>30/08/2026</t>
        </is>
      </c>
      <c r="E514" t="n">
        <v>28</v>
      </c>
      <c r="F514" t="n">
        <v>0</v>
      </c>
      <c r="G514">
        <f>E11649+F11649</f>
        <v/>
      </c>
    </row>
    <row r="515">
      <c r="A515" t="inlineStr">
        <is>
          <t>37375128</t>
        </is>
      </c>
      <c r="B515" t="inlineStr">
        <is>
          <t>PRODUCTO 0E31D7</t>
        </is>
      </c>
      <c r="C515" t="inlineStr">
        <is>
          <t>Piura</t>
        </is>
      </c>
      <c r="D515" t="inlineStr">
        <is>
          <t>30/08/2026</t>
        </is>
      </c>
      <c r="E515" t="n">
        <v>1</v>
      </c>
      <c r="F515" t="n">
        <v>0</v>
      </c>
      <c r="G515">
        <f>E11651+F11651</f>
        <v/>
      </c>
    </row>
    <row r="516">
      <c r="A516" t="inlineStr">
        <is>
          <t>37375202</t>
        </is>
      </c>
      <c r="B516" t="inlineStr">
        <is>
          <t>PRODUCTO E8AB0A</t>
        </is>
      </c>
      <c r="C516" t="inlineStr">
        <is>
          <t>Miraflores</t>
        </is>
      </c>
      <c r="D516" t="inlineStr">
        <is>
          <t>30/08/2026</t>
        </is>
      </c>
      <c r="E516" t="n">
        <v>2</v>
      </c>
      <c r="F516" t="n">
        <v>0</v>
      </c>
      <c r="G516">
        <f>E11674+F11674</f>
        <v/>
      </c>
    </row>
    <row r="517">
      <c r="A517" t="inlineStr">
        <is>
          <t>37375202</t>
        </is>
      </c>
      <c r="B517" t="inlineStr">
        <is>
          <t>PRODUCTO E8AB0A</t>
        </is>
      </c>
      <c r="C517" t="inlineStr">
        <is>
          <t>San Borja</t>
        </is>
      </c>
      <c r="D517" t="inlineStr">
        <is>
          <t>30/08/2026</t>
        </is>
      </c>
      <c r="E517" t="n">
        <v>1</v>
      </c>
      <c r="F517" t="n">
        <v>0</v>
      </c>
      <c r="G517">
        <f>E11675+F11675</f>
        <v/>
      </c>
    </row>
    <row r="518">
      <c r="A518" t="inlineStr">
        <is>
          <t>37376558</t>
        </is>
      </c>
      <c r="B518" t="inlineStr">
        <is>
          <t>PRODUCTO C18D7B</t>
        </is>
      </c>
      <c r="C518" t="inlineStr">
        <is>
          <t>Jockey Plaza</t>
        </is>
      </c>
      <c r="D518" t="inlineStr">
        <is>
          <t>30/08/2026</t>
        </is>
      </c>
      <c r="E518" t="n">
        <v>22</v>
      </c>
      <c r="F518" t="n">
        <v>0</v>
      </c>
      <c r="G518">
        <f>E11683+F11683</f>
        <v/>
      </c>
    </row>
    <row r="519">
      <c r="A519" t="inlineStr">
        <is>
          <t>37376558</t>
        </is>
      </c>
      <c r="B519" t="inlineStr">
        <is>
          <t>PRODUCTO C18D7B</t>
        </is>
      </c>
      <c r="C519" t="inlineStr">
        <is>
          <t>San Miguel</t>
        </is>
      </c>
      <c r="D519" t="inlineStr">
        <is>
          <t>30/08/2026</t>
        </is>
      </c>
      <c r="E519" t="n">
        <v>78</v>
      </c>
      <c r="F519" t="n">
        <v>0</v>
      </c>
      <c r="G519">
        <f>E11684+F11684</f>
        <v/>
      </c>
    </row>
    <row r="520">
      <c r="A520" t="inlineStr">
        <is>
          <t>37376558</t>
        </is>
      </c>
      <c r="B520" t="inlineStr">
        <is>
          <t>PRODUCTO C18D7B</t>
        </is>
      </c>
      <c r="C520" t="inlineStr">
        <is>
          <t>Miraflores</t>
        </is>
      </c>
      <c r="D520" t="inlineStr">
        <is>
          <t>30/08/2026</t>
        </is>
      </c>
      <c r="E520" t="n">
        <v>70</v>
      </c>
      <c r="F520" t="n">
        <v>0</v>
      </c>
      <c r="G520">
        <f>E11685+F11685</f>
        <v/>
      </c>
    </row>
    <row r="521">
      <c r="A521" t="inlineStr">
        <is>
          <t>37376558</t>
        </is>
      </c>
      <c r="B521" t="inlineStr">
        <is>
          <t>PRODUCTO C18D7B</t>
        </is>
      </c>
      <c r="C521" t="inlineStr">
        <is>
          <t>Salaverry</t>
        </is>
      </c>
      <c r="D521" t="inlineStr">
        <is>
          <t>30/08/2026</t>
        </is>
      </c>
      <c r="E521" t="n">
        <v>37</v>
      </c>
      <c r="F521" t="n">
        <v>0</v>
      </c>
      <c r="G521">
        <f>E11688+F11688</f>
        <v/>
      </c>
    </row>
    <row r="522">
      <c r="A522" t="inlineStr">
        <is>
          <t>37376558</t>
        </is>
      </c>
      <c r="B522" t="inlineStr">
        <is>
          <t>PRODUCTO C18D7B</t>
        </is>
      </c>
      <c r="C522" t="inlineStr">
        <is>
          <t>San Borja</t>
        </is>
      </c>
      <c r="D522" t="inlineStr">
        <is>
          <t>30/08/2026</t>
        </is>
      </c>
      <c r="E522" t="n">
        <v>37</v>
      </c>
      <c r="F522" t="n">
        <v>0</v>
      </c>
      <c r="G522">
        <f>E11689+F11689</f>
        <v/>
      </c>
    </row>
    <row r="523">
      <c r="A523" t="inlineStr">
        <is>
          <t>37376558</t>
        </is>
      </c>
      <c r="B523" t="inlineStr">
        <is>
          <t>PRODUCTO C18D7B</t>
        </is>
      </c>
      <c r="C523" t="inlineStr">
        <is>
          <t>Piura</t>
        </is>
      </c>
      <c r="D523" t="inlineStr">
        <is>
          <t>30/08/2026</t>
        </is>
      </c>
      <c r="E523" t="n">
        <v>26</v>
      </c>
      <c r="F523" t="n">
        <v>0</v>
      </c>
      <c r="G523">
        <f>E11692+F11692</f>
        <v/>
      </c>
    </row>
    <row r="524">
      <c r="A524" t="inlineStr">
        <is>
          <t>37376608</t>
        </is>
      </c>
      <c r="B524" t="inlineStr">
        <is>
          <t>PRODUCTO 174CCA</t>
        </is>
      </c>
      <c r="C524" t="inlineStr">
        <is>
          <t>Jockey Plaza</t>
        </is>
      </c>
      <c r="D524" t="inlineStr">
        <is>
          <t>30/08/2026</t>
        </is>
      </c>
      <c r="E524" t="n">
        <v>5</v>
      </c>
      <c r="F524" t="n">
        <v>0</v>
      </c>
      <c r="G524">
        <f>E11699+F11699</f>
        <v/>
      </c>
    </row>
    <row r="525">
      <c r="A525" t="inlineStr">
        <is>
          <t>37376608</t>
        </is>
      </c>
      <c r="B525" t="inlineStr">
        <is>
          <t>PRODUCTO 174CCA</t>
        </is>
      </c>
      <c r="C525" t="inlineStr">
        <is>
          <t>San Miguel</t>
        </is>
      </c>
      <c r="D525" t="inlineStr">
        <is>
          <t>30/08/2026</t>
        </is>
      </c>
      <c r="E525" t="n">
        <v>6</v>
      </c>
      <c r="F525" t="n">
        <v>0</v>
      </c>
      <c r="G525">
        <f>E11700+F11700</f>
        <v/>
      </c>
    </row>
    <row r="526">
      <c r="A526" t="inlineStr">
        <is>
          <t>37376608</t>
        </is>
      </c>
      <c r="B526" t="inlineStr">
        <is>
          <t>PRODUCTO 174CCA</t>
        </is>
      </c>
      <c r="C526" t="inlineStr">
        <is>
          <t>Miraflores</t>
        </is>
      </c>
      <c r="D526" t="inlineStr">
        <is>
          <t>30/08/2026</t>
        </is>
      </c>
      <c r="E526" t="n">
        <v>8</v>
      </c>
      <c r="F526" t="n">
        <v>0</v>
      </c>
      <c r="G526">
        <f>E11701+F11701</f>
        <v/>
      </c>
    </row>
    <row r="527">
      <c r="A527" t="inlineStr">
        <is>
          <t>37376608</t>
        </is>
      </c>
      <c r="B527" t="inlineStr">
        <is>
          <t>PRODUCTO 174CCA</t>
        </is>
      </c>
      <c r="C527" t="inlineStr">
        <is>
          <t>Salaverry</t>
        </is>
      </c>
      <c r="D527" t="inlineStr">
        <is>
          <t>30/08/2026</t>
        </is>
      </c>
      <c r="E527" t="n">
        <v>11</v>
      </c>
      <c r="F527" t="n">
        <v>0</v>
      </c>
      <c r="G527">
        <f>E11702+F11702</f>
        <v/>
      </c>
    </row>
    <row r="528">
      <c r="A528" t="inlineStr">
        <is>
          <t>37376608</t>
        </is>
      </c>
      <c r="B528" t="inlineStr">
        <is>
          <t>PRODUCTO 174CCA</t>
        </is>
      </c>
      <c r="C528" t="inlineStr">
        <is>
          <t>San Borja</t>
        </is>
      </c>
      <c r="D528" t="inlineStr">
        <is>
          <t>30/08/2026</t>
        </is>
      </c>
      <c r="E528" t="n">
        <v>5</v>
      </c>
      <c r="F528" t="n">
        <v>0</v>
      </c>
      <c r="G528">
        <f>E11703+F11703</f>
        <v/>
      </c>
    </row>
    <row r="529">
      <c r="A529" t="inlineStr">
        <is>
          <t>37376655</t>
        </is>
      </c>
      <c r="B529" t="inlineStr">
        <is>
          <t>PRODUCTO 756D38</t>
        </is>
      </c>
      <c r="C529" t="inlineStr">
        <is>
          <t>Salaverry</t>
        </is>
      </c>
      <c r="D529" t="inlineStr">
        <is>
          <t>30/08/2026</t>
        </is>
      </c>
      <c r="E529" t="n">
        <v>22</v>
      </c>
      <c r="F529" t="n">
        <v>0</v>
      </c>
      <c r="G529">
        <f>E11721+F11721</f>
        <v/>
      </c>
    </row>
    <row r="530">
      <c r="A530" t="inlineStr">
        <is>
          <t>37376693</t>
        </is>
      </c>
      <c r="B530" t="inlineStr">
        <is>
          <t>PRODUCTO 5958CC</t>
        </is>
      </c>
      <c r="C530" t="inlineStr">
        <is>
          <t>Jockey Plaza</t>
        </is>
      </c>
      <c r="D530" t="inlineStr">
        <is>
          <t>30/08/2026</t>
        </is>
      </c>
      <c r="E530" t="n">
        <v>9</v>
      </c>
      <c r="F530" t="n">
        <v>0</v>
      </c>
      <c r="G530">
        <f>E11727+F11727</f>
        <v/>
      </c>
    </row>
    <row r="531">
      <c r="A531" t="inlineStr">
        <is>
          <t>37376802</t>
        </is>
      </c>
      <c r="B531" t="inlineStr">
        <is>
          <t>PRODUCTO 546020</t>
        </is>
      </c>
      <c r="C531" t="inlineStr">
        <is>
          <t>Jockey Plaza</t>
        </is>
      </c>
      <c r="D531" t="inlineStr">
        <is>
          <t>30/08/2026</t>
        </is>
      </c>
      <c r="E531" t="n">
        <v>6</v>
      </c>
      <c r="F531" t="n">
        <v>0</v>
      </c>
      <c r="G531">
        <f>E11767+F11767</f>
        <v/>
      </c>
    </row>
    <row r="532">
      <c r="A532" t="inlineStr">
        <is>
          <t>37376802</t>
        </is>
      </c>
      <c r="B532" t="inlineStr">
        <is>
          <t>PRODUCTO 546020</t>
        </is>
      </c>
      <c r="C532" t="inlineStr">
        <is>
          <t>Miraflores</t>
        </is>
      </c>
      <c r="D532" t="inlineStr">
        <is>
          <t>30/08/2026</t>
        </is>
      </c>
      <c r="E532" t="n">
        <v>8</v>
      </c>
      <c r="F532" t="n">
        <v>0</v>
      </c>
      <c r="G532">
        <f>E11768+F11768</f>
        <v/>
      </c>
    </row>
    <row r="533">
      <c r="A533" t="inlineStr">
        <is>
          <t>37376815</t>
        </is>
      </c>
      <c r="B533" t="inlineStr">
        <is>
          <t>PRODUCTO 47363A</t>
        </is>
      </c>
      <c r="C533" t="inlineStr">
        <is>
          <t>Jockey Plaza</t>
        </is>
      </c>
      <c r="D533" t="inlineStr">
        <is>
          <t>30/08/2026</t>
        </is>
      </c>
      <c r="E533" t="n">
        <v>1</v>
      </c>
      <c r="F533" t="n">
        <v>0</v>
      </c>
      <c r="G533">
        <f>E11774+F11774</f>
        <v/>
      </c>
    </row>
    <row r="534">
      <c r="A534" t="inlineStr">
        <is>
          <t>37395314</t>
        </is>
      </c>
      <c r="B534" t="inlineStr">
        <is>
          <t>PRODUCTO BF51EB</t>
        </is>
      </c>
      <c r="C534" t="inlineStr">
        <is>
          <t>Jockey Plaza</t>
        </is>
      </c>
      <c r="D534" t="inlineStr">
        <is>
          <t>30/08/2026</t>
        </is>
      </c>
      <c r="E534" t="n">
        <v>9</v>
      </c>
      <c r="F534" t="n">
        <v>0</v>
      </c>
      <c r="G534">
        <f>E11844+F11844</f>
        <v/>
      </c>
    </row>
    <row r="535">
      <c r="A535" t="inlineStr">
        <is>
          <t>37395314</t>
        </is>
      </c>
      <c r="B535" t="inlineStr">
        <is>
          <t>PRODUCTO BF51EB</t>
        </is>
      </c>
      <c r="C535" t="inlineStr">
        <is>
          <t>San Miguel</t>
        </is>
      </c>
      <c r="D535" t="inlineStr">
        <is>
          <t>30/08/2026</t>
        </is>
      </c>
      <c r="E535" t="n">
        <v>2</v>
      </c>
      <c r="F535" t="n">
        <v>0</v>
      </c>
      <c r="G535">
        <f>E11845+F11845</f>
        <v/>
      </c>
    </row>
    <row r="536">
      <c r="A536" t="inlineStr">
        <is>
          <t>37395384</t>
        </is>
      </c>
      <c r="B536" t="inlineStr">
        <is>
          <t>PRODUCTO AE4F28</t>
        </is>
      </c>
      <c r="C536" t="inlineStr">
        <is>
          <t>Piura</t>
        </is>
      </c>
      <c r="D536" t="inlineStr">
        <is>
          <t>30/08/2026</t>
        </is>
      </c>
      <c r="E536" t="n">
        <v>5</v>
      </c>
      <c r="F536" t="n">
        <v>0</v>
      </c>
      <c r="G536">
        <f>E11870+F11870</f>
        <v/>
      </c>
    </row>
    <row r="537">
      <c r="A537" t="inlineStr">
        <is>
          <t>37449412</t>
        </is>
      </c>
      <c r="B537" t="inlineStr">
        <is>
          <t>PRODUCTO 474DE9</t>
        </is>
      </c>
      <c r="C537" t="inlineStr">
        <is>
          <t>Jockey Plaza</t>
        </is>
      </c>
      <c r="D537" t="inlineStr">
        <is>
          <t>30/08/2026</t>
        </is>
      </c>
      <c r="E537" t="n">
        <v>14</v>
      </c>
      <c r="F537" t="n">
        <v>0</v>
      </c>
      <c r="G537">
        <f>E11952+F11952</f>
        <v/>
      </c>
    </row>
    <row r="538">
      <c r="A538" t="inlineStr">
        <is>
          <t>37456391</t>
        </is>
      </c>
      <c r="B538" t="inlineStr">
        <is>
          <t>PRODUCTO A30D14</t>
        </is>
      </c>
      <c r="C538" t="inlineStr">
        <is>
          <t>Piura</t>
        </is>
      </c>
      <c r="D538" t="inlineStr">
        <is>
          <t>30/08/2026</t>
        </is>
      </c>
      <c r="E538" t="n">
        <v>11</v>
      </c>
      <c r="F538" t="n">
        <v>0</v>
      </c>
      <c r="G538">
        <f>E12003+F12003</f>
        <v/>
      </c>
    </row>
    <row r="539">
      <c r="A539" t="inlineStr">
        <is>
          <t>37460078</t>
        </is>
      </c>
      <c r="B539" t="inlineStr">
        <is>
          <t>PRODUCTO DC4C82</t>
        </is>
      </c>
      <c r="C539" t="inlineStr">
        <is>
          <t>Jockey Plaza</t>
        </is>
      </c>
      <c r="D539" t="inlineStr">
        <is>
          <t>30/08/2026</t>
        </is>
      </c>
      <c r="E539" t="n">
        <v>19</v>
      </c>
      <c r="F539" t="n">
        <v>0</v>
      </c>
      <c r="G539">
        <f>E12056+F12056</f>
        <v/>
      </c>
    </row>
    <row r="540">
      <c r="A540" t="inlineStr">
        <is>
          <t>37460078</t>
        </is>
      </c>
      <c r="B540" t="inlineStr">
        <is>
          <t>PRODUCTO DC4C82</t>
        </is>
      </c>
      <c r="C540" t="inlineStr">
        <is>
          <t>San Miguel</t>
        </is>
      </c>
      <c r="D540" t="inlineStr">
        <is>
          <t>30/08/2026</t>
        </is>
      </c>
      <c r="E540" t="n">
        <v>10</v>
      </c>
      <c r="F540" t="n">
        <v>0</v>
      </c>
      <c r="G540">
        <f>E12057+F12057</f>
        <v/>
      </c>
    </row>
    <row r="541">
      <c r="A541" t="inlineStr">
        <is>
          <t>37460078</t>
        </is>
      </c>
      <c r="B541" t="inlineStr">
        <is>
          <t>PRODUCTO DC4C82</t>
        </is>
      </c>
      <c r="C541" t="inlineStr">
        <is>
          <t>Miraflores</t>
        </is>
      </c>
      <c r="D541" t="inlineStr">
        <is>
          <t>30/08/2026</t>
        </is>
      </c>
      <c r="E541" t="n">
        <v>17</v>
      </c>
      <c r="F541" t="n">
        <v>0</v>
      </c>
      <c r="G541">
        <f>E12058+F12058</f>
        <v/>
      </c>
    </row>
    <row r="542">
      <c r="A542" t="inlineStr">
        <is>
          <t>37460078</t>
        </is>
      </c>
      <c r="B542" t="inlineStr">
        <is>
          <t>PRODUCTO DC4C82</t>
        </is>
      </c>
      <c r="C542" t="inlineStr">
        <is>
          <t>Salaverry</t>
        </is>
      </c>
      <c r="D542" t="inlineStr">
        <is>
          <t>30/08/2026</t>
        </is>
      </c>
      <c r="E542" t="n">
        <v>17</v>
      </c>
      <c r="F542" t="n">
        <v>0</v>
      </c>
      <c r="G542">
        <f>E12062+F12062</f>
        <v/>
      </c>
    </row>
    <row r="543">
      <c r="A543" t="inlineStr">
        <is>
          <t>37460078</t>
        </is>
      </c>
      <c r="B543" t="inlineStr">
        <is>
          <t>PRODUCTO DC4C82</t>
        </is>
      </c>
      <c r="C543" t="inlineStr">
        <is>
          <t>San Borja</t>
        </is>
      </c>
      <c r="D543" t="inlineStr">
        <is>
          <t>30/08/2026</t>
        </is>
      </c>
      <c r="E543" t="n">
        <v>15</v>
      </c>
      <c r="F543" t="n">
        <v>0</v>
      </c>
      <c r="G543">
        <f>E12063+F12063</f>
        <v/>
      </c>
    </row>
    <row r="544">
      <c r="A544" t="inlineStr">
        <is>
          <t>37567325</t>
        </is>
      </c>
      <c r="B544" t="inlineStr">
        <is>
          <t>PRODUCTO 2819BA</t>
        </is>
      </c>
      <c r="C544" t="inlineStr">
        <is>
          <t>Miraflores</t>
        </is>
      </c>
      <c r="D544" t="inlineStr">
        <is>
          <t>30/08/2026</t>
        </is>
      </c>
      <c r="E544" t="n">
        <v>9</v>
      </c>
      <c r="F544" t="n">
        <v>0</v>
      </c>
      <c r="G544">
        <f>E12230+F12230</f>
        <v/>
      </c>
    </row>
    <row r="545">
      <c r="A545" t="inlineStr">
        <is>
          <t>37567325</t>
        </is>
      </c>
      <c r="B545" t="inlineStr">
        <is>
          <t>PRODUCTO 2819BA</t>
        </is>
      </c>
      <c r="C545" t="inlineStr">
        <is>
          <t>San Borja</t>
        </is>
      </c>
      <c r="D545" t="inlineStr">
        <is>
          <t>30/08/2026</t>
        </is>
      </c>
      <c r="E545" t="n">
        <v>8</v>
      </c>
      <c r="F545" t="n">
        <v>0</v>
      </c>
      <c r="G545">
        <f>E12232+F12232</f>
        <v/>
      </c>
    </row>
    <row r="546">
      <c r="A546" t="inlineStr">
        <is>
          <t>37567346</t>
        </is>
      </c>
      <c r="B546" t="inlineStr">
        <is>
          <t>PRODUCTO 8528B6</t>
        </is>
      </c>
      <c r="C546" t="inlineStr">
        <is>
          <t>San Miguel</t>
        </is>
      </c>
      <c r="D546" t="inlineStr">
        <is>
          <t>30/08/2026</t>
        </is>
      </c>
      <c r="E546" t="n">
        <v>8</v>
      </c>
      <c r="F546" t="n">
        <v>0</v>
      </c>
      <c r="G546">
        <f>E12237+F12237</f>
        <v/>
      </c>
    </row>
    <row r="547">
      <c r="A547" t="inlineStr">
        <is>
          <t>37576793</t>
        </is>
      </c>
      <c r="B547" t="inlineStr">
        <is>
          <t>PRODUCTO D067A4</t>
        </is>
      </c>
      <c r="C547" t="inlineStr">
        <is>
          <t>Jockey Plaza</t>
        </is>
      </c>
      <c r="D547" t="inlineStr">
        <is>
          <t>30/08/2026</t>
        </is>
      </c>
      <c r="E547" t="n">
        <v>10</v>
      </c>
      <c r="F547" t="n">
        <v>0</v>
      </c>
      <c r="G547">
        <f>E12304+F12304</f>
        <v/>
      </c>
    </row>
    <row r="548">
      <c r="A548" t="inlineStr">
        <is>
          <t>37576793</t>
        </is>
      </c>
      <c r="B548" t="inlineStr">
        <is>
          <t>PRODUCTO D067A4</t>
        </is>
      </c>
      <c r="C548" t="inlineStr">
        <is>
          <t>San Miguel</t>
        </is>
      </c>
      <c r="D548" t="inlineStr">
        <is>
          <t>30/08/2026</t>
        </is>
      </c>
      <c r="E548" t="n">
        <v>11</v>
      </c>
      <c r="F548" t="n">
        <v>0</v>
      </c>
      <c r="G548">
        <f>E12305+F12305</f>
        <v/>
      </c>
    </row>
    <row r="549">
      <c r="A549" t="inlineStr">
        <is>
          <t>37576793</t>
        </is>
      </c>
      <c r="B549" t="inlineStr">
        <is>
          <t>PRODUCTO D067A4</t>
        </is>
      </c>
      <c r="C549" t="inlineStr">
        <is>
          <t>Miraflores</t>
        </is>
      </c>
      <c r="D549" t="inlineStr">
        <is>
          <t>30/08/2026</t>
        </is>
      </c>
      <c r="E549" t="n">
        <v>6</v>
      </c>
      <c r="F549" t="n">
        <v>0</v>
      </c>
      <c r="G549">
        <f>E12306+F12306</f>
        <v/>
      </c>
    </row>
    <row r="550">
      <c r="A550" t="inlineStr">
        <is>
          <t>37576793</t>
        </is>
      </c>
      <c r="B550" t="inlineStr">
        <is>
          <t>PRODUCTO D067A4</t>
        </is>
      </c>
      <c r="C550" t="inlineStr">
        <is>
          <t>Salaverry</t>
        </is>
      </c>
      <c r="D550" t="inlineStr">
        <is>
          <t>30/08/2026</t>
        </is>
      </c>
      <c r="E550" t="n">
        <v>3</v>
      </c>
      <c r="F550" t="n">
        <v>0</v>
      </c>
      <c r="G550">
        <f>E12313+F12313</f>
        <v/>
      </c>
    </row>
    <row r="551">
      <c r="A551" t="inlineStr">
        <is>
          <t>37576793</t>
        </is>
      </c>
      <c r="B551" t="inlineStr">
        <is>
          <t>PRODUCTO D067A4</t>
        </is>
      </c>
      <c r="C551" t="inlineStr">
        <is>
          <t>San Borja</t>
        </is>
      </c>
      <c r="D551" t="inlineStr">
        <is>
          <t>30/08/2026</t>
        </is>
      </c>
      <c r="E551" t="n">
        <v>7</v>
      </c>
      <c r="F551" t="n">
        <v>0</v>
      </c>
      <c r="G551">
        <f>E12314+F12314</f>
        <v/>
      </c>
    </row>
    <row r="552">
      <c r="A552" t="inlineStr">
        <is>
          <t>37576793</t>
        </is>
      </c>
      <c r="B552" t="inlineStr">
        <is>
          <t>PRODUCTO D067A4</t>
        </is>
      </c>
      <c r="C552" t="inlineStr">
        <is>
          <t>Piura</t>
        </is>
      </c>
      <c r="D552" t="inlineStr">
        <is>
          <t>30/08/2026</t>
        </is>
      </c>
      <c r="E552" t="n">
        <v>8</v>
      </c>
      <c r="F552" t="n">
        <v>0</v>
      </c>
      <c r="G552">
        <f>E12316+F12316</f>
        <v/>
      </c>
    </row>
    <row r="553">
      <c r="A553" t="inlineStr">
        <is>
          <t>37590066</t>
        </is>
      </c>
      <c r="B553" t="inlineStr">
        <is>
          <t>PRODUCTO 75A7B9</t>
        </is>
      </c>
      <c r="C553" t="inlineStr">
        <is>
          <t>San Miguel</t>
        </is>
      </c>
      <c r="D553" t="inlineStr">
        <is>
          <t>30/08/2026</t>
        </is>
      </c>
      <c r="E553" t="n">
        <v>91</v>
      </c>
      <c r="F553" t="n">
        <v>0</v>
      </c>
      <c r="G553">
        <f>E12675+F12675</f>
        <v/>
      </c>
    </row>
    <row r="554">
      <c r="A554" t="inlineStr">
        <is>
          <t>37590066</t>
        </is>
      </c>
      <c r="B554" t="inlineStr">
        <is>
          <t>PRODUCTO 75A7B9</t>
        </is>
      </c>
      <c r="C554" t="inlineStr">
        <is>
          <t>Piura</t>
        </is>
      </c>
      <c r="D554" t="inlineStr">
        <is>
          <t>30/08/2026</t>
        </is>
      </c>
      <c r="E554" t="n">
        <v>87</v>
      </c>
      <c r="F554" t="n">
        <v>0</v>
      </c>
      <c r="G554">
        <f>E12678+F12678</f>
        <v/>
      </c>
    </row>
    <row r="555">
      <c r="A555" t="inlineStr">
        <is>
          <t>37619852</t>
        </is>
      </c>
      <c r="B555" t="inlineStr">
        <is>
          <t>PRODUCTO DA102A</t>
        </is>
      </c>
      <c r="C555" t="inlineStr">
        <is>
          <t>Jockey Plaza</t>
        </is>
      </c>
      <c r="D555" t="inlineStr">
        <is>
          <t>30/08/2026</t>
        </is>
      </c>
      <c r="E555" t="n">
        <v>20</v>
      </c>
      <c r="F555" t="n">
        <v>0</v>
      </c>
      <c r="G555">
        <f>E12714+F12714</f>
        <v/>
      </c>
    </row>
    <row r="556">
      <c r="A556" t="inlineStr">
        <is>
          <t>37619852</t>
        </is>
      </c>
      <c r="B556" t="inlineStr">
        <is>
          <t>PRODUCTO DA102A</t>
        </is>
      </c>
      <c r="C556" t="inlineStr">
        <is>
          <t>San Miguel</t>
        </is>
      </c>
      <c r="D556" t="inlineStr">
        <is>
          <t>30/08/2026</t>
        </is>
      </c>
      <c r="E556" t="n">
        <v>19</v>
      </c>
      <c r="F556" t="n">
        <v>0</v>
      </c>
      <c r="G556">
        <f>E12715+F12715</f>
        <v/>
      </c>
    </row>
    <row r="557">
      <c r="A557" t="inlineStr">
        <is>
          <t>37619852</t>
        </is>
      </c>
      <c r="B557" t="inlineStr">
        <is>
          <t>PRODUCTO DA102A</t>
        </is>
      </c>
      <c r="C557" t="inlineStr">
        <is>
          <t>Miraflores</t>
        </is>
      </c>
      <c r="D557" t="inlineStr">
        <is>
          <t>30/08/2026</t>
        </is>
      </c>
      <c r="E557" t="n">
        <v>20</v>
      </c>
      <c r="F557" t="n">
        <v>0</v>
      </c>
      <c r="G557">
        <f>E12716+F12716</f>
        <v/>
      </c>
    </row>
    <row r="558">
      <c r="A558" t="inlineStr">
        <is>
          <t>37619852</t>
        </is>
      </c>
      <c r="B558" t="inlineStr">
        <is>
          <t>PRODUCTO DA102A</t>
        </is>
      </c>
      <c r="C558" t="inlineStr">
        <is>
          <t>Salaverry</t>
        </is>
      </c>
      <c r="D558" t="inlineStr">
        <is>
          <t>30/08/2026</t>
        </is>
      </c>
      <c r="E558" t="n">
        <v>17</v>
      </c>
      <c r="F558" t="n">
        <v>0</v>
      </c>
      <c r="G558">
        <f>E12720+F12720</f>
        <v/>
      </c>
    </row>
    <row r="559">
      <c r="A559" t="inlineStr">
        <is>
          <t>37619852</t>
        </is>
      </c>
      <c r="B559" t="inlineStr">
        <is>
          <t>PRODUCTO DA102A</t>
        </is>
      </c>
      <c r="C559" t="inlineStr">
        <is>
          <t>San Borja</t>
        </is>
      </c>
      <c r="D559" t="inlineStr">
        <is>
          <t>30/08/2026</t>
        </is>
      </c>
      <c r="E559" t="n">
        <v>16</v>
      </c>
      <c r="F559" t="n">
        <v>0</v>
      </c>
      <c r="G559">
        <f>E12721+F12721</f>
        <v/>
      </c>
    </row>
    <row r="560">
      <c r="A560" t="inlineStr">
        <is>
          <t>37619852</t>
        </is>
      </c>
      <c r="B560" t="inlineStr">
        <is>
          <t>PRODUCTO DA102A</t>
        </is>
      </c>
      <c r="C560" t="inlineStr">
        <is>
          <t>Piura</t>
        </is>
      </c>
      <c r="D560" t="inlineStr">
        <is>
          <t>30/08/2026</t>
        </is>
      </c>
      <c r="E560" t="n">
        <v>8</v>
      </c>
      <c r="F560" t="n">
        <v>0</v>
      </c>
      <c r="G560">
        <f>E12723+F12723</f>
        <v/>
      </c>
    </row>
    <row r="561">
      <c r="A561" t="inlineStr">
        <is>
          <t>37619882</t>
        </is>
      </c>
      <c r="B561" t="inlineStr">
        <is>
          <t>PRODUCTO 0A3B2F</t>
        </is>
      </c>
      <c r="C561" t="inlineStr">
        <is>
          <t>Jockey Plaza</t>
        </is>
      </c>
      <c r="D561" t="inlineStr">
        <is>
          <t>30/08/2026</t>
        </is>
      </c>
      <c r="E561" t="n">
        <v>15</v>
      </c>
      <c r="F561" t="n">
        <v>0</v>
      </c>
      <c r="G561">
        <f>E12776+F12776</f>
        <v/>
      </c>
    </row>
    <row r="562">
      <c r="A562" t="inlineStr">
        <is>
          <t>37619882</t>
        </is>
      </c>
      <c r="B562" t="inlineStr">
        <is>
          <t>PRODUCTO 0A3B2F</t>
        </is>
      </c>
      <c r="C562" t="inlineStr">
        <is>
          <t>San Miguel</t>
        </is>
      </c>
      <c r="D562" t="inlineStr">
        <is>
          <t>30/08/2026</t>
        </is>
      </c>
      <c r="E562" t="n">
        <v>16</v>
      </c>
      <c r="F562" t="n">
        <v>0</v>
      </c>
      <c r="G562">
        <f>E12777+F12777</f>
        <v/>
      </c>
    </row>
    <row r="563">
      <c r="A563" t="inlineStr">
        <is>
          <t>37619882</t>
        </is>
      </c>
      <c r="B563" t="inlineStr">
        <is>
          <t>PRODUCTO 0A3B2F</t>
        </is>
      </c>
      <c r="C563" t="inlineStr">
        <is>
          <t>Miraflores</t>
        </is>
      </c>
      <c r="D563" t="inlineStr">
        <is>
          <t>30/08/2026</t>
        </is>
      </c>
      <c r="E563" t="n">
        <v>16</v>
      </c>
      <c r="F563" t="n">
        <v>0</v>
      </c>
      <c r="G563">
        <f>E12778+F12778</f>
        <v/>
      </c>
    </row>
    <row r="564">
      <c r="A564" t="inlineStr">
        <is>
          <t>37619882</t>
        </is>
      </c>
      <c r="B564" t="inlineStr">
        <is>
          <t>PRODUCTO 0A3B2F</t>
        </is>
      </c>
      <c r="C564" t="inlineStr">
        <is>
          <t>Salaverry</t>
        </is>
      </c>
      <c r="D564" t="inlineStr">
        <is>
          <t>30/08/2026</t>
        </is>
      </c>
      <c r="E564" t="n">
        <v>14</v>
      </c>
      <c r="F564" t="n">
        <v>0</v>
      </c>
      <c r="G564">
        <f>E12785+F12785</f>
        <v/>
      </c>
    </row>
    <row r="565">
      <c r="A565" t="inlineStr">
        <is>
          <t>37619882</t>
        </is>
      </c>
      <c r="B565" t="inlineStr">
        <is>
          <t>PRODUCTO 0A3B2F</t>
        </is>
      </c>
      <c r="C565" t="inlineStr">
        <is>
          <t>San Borja</t>
        </is>
      </c>
      <c r="D565" t="inlineStr">
        <is>
          <t>30/08/2026</t>
        </is>
      </c>
      <c r="E565" t="n">
        <v>13</v>
      </c>
      <c r="F565" t="n">
        <v>0</v>
      </c>
      <c r="G565">
        <f>E12786+F12786</f>
        <v/>
      </c>
    </row>
    <row r="566">
      <c r="A566" t="inlineStr">
        <is>
          <t>37619882</t>
        </is>
      </c>
      <c r="B566" t="inlineStr">
        <is>
          <t>PRODUCTO 0A3B2F</t>
        </is>
      </c>
      <c r="C566" t="inlineStr">
        <is>
          <t>Piura</t>
        </is>
      </c>
      <c r="D566" t="inlineStr">
        <is>
          <t>30/08/2026</t>
        </is>
      </c>
      <c r="E566" t="n">
        <v>0</v>
      </c>
      <c r="F566" t="n">
        <v>16</v>
      </c>
      <c r="G566">
        <f>E12788+F12788</f>
        <v/>
      </c>
    </row>
    <row r="567">
      <c r="A567" t="inlineStr">
        <is>
          <t>32063121</t>
        </is>
      </c>
      <c r="B567" t="inlineStr">
        <is>
          <t>PRODUCTO AB2B54</t>
        </is>
      </c>
      <c r="C567" t="inlineStr">
        <is>
          <t>Jockey Plaza</t>
        </is>
      </c>
      <c r="D567" t="inlineStr">
        <is>
          <t>30/08/2026</t>
        </is>
      </c>
      <c r="E567" t="n">
        <v>2</v>
      </c>
      <c r="F567" t="n">
        <v>0</v>
      </c>
      <c r="G567">
        <f>E12875+F12875</f>
        <v/>
      </c>
    </row>
    <row r="568">
      <c r="A568" t="inlineStr">
        <is>
          <t>32489536</t>
        </is>
      </c>
      <c r="B568" t="inlineStr">
        <is>
          <t>PRODUCTO ECEFBC</t>
        </is>
      </c>
      <c r="C568" t="inlineStr">
        <is>
          <t>Jockey Plaza</t>
        </is>
      </c>
      <c r="D568" t="inlineStr">
        <is>
          <t>30/08/2026</t>
        </is>
      </c>
      <c r="E568" t="n">
        <v>1</v>
      </c>
      <c r="F568" t="n">
        <v>0</v>
      </c>
      <c r="G568">
        <f>E12889+F12889</f>
        <v/>
      </c>
    </row>
    <row r="569">
      <c r="A569" t="inlineStr">
        <is>
          <t>33552621</t>
        </is>
      </c>
      <c r="B569" t="inlineStr">
        <is>
          <t>PRODUCTO 69D7E3</t>
        </is>
      </c>
      <c r="C569" t="inlineStr">
        <is>
          <t>Jockey Plaza</t>
        </is>
      </c>
      <c r="D569" t="inlineStr">
        <is>
          <t>30/08/2026</t>
        </is>
      </c>
      <c r="E569" t="n">
        <v>1</v>
      </c>
      <c r="F569" t="n">
        <v>0</v>
      </c>
      <c r="G569">
        <f>E12980+F12980</f>
        <v/>
      </c>
    </row>
    <row r="570">
      <c r="A570" t="inlineStr">
        <is>
          <t>33552692</t>
        </is>
      </c>
      <c r="B570" t="inlineStr">
        <is>
          <t>PRODUCTO DF2069</t>
        </is>
      </c>
      <c r="C570" t="inlineStr">
        <is>
          <t>Jockey Plaza</t>
        </is>
      </c>
      <c r="D570" t="inlineStr">
        <is>
          <t>30/08/2026</t>
        </is>
      </c>
      <c r="E570" t="n">
        <v>1</v>
      </c>
      <c r="F570" t="n">
        <v>0</v>
      </c>
      <c r="G570">
        <f>E12995+F12995</f>
        <v/>
      </c>
    </row>
    <row r="571">
      <c r="A571" t="inlineStr">
        <is>
          <t>33552692</t>
        </is>
      </c>
      <c r="B571" t="inlineStr">
        <is>
          <t>PRODUCTO DF2069</t>
        </is>
      </c>
      <c r="C571" t="inlineStr">
        <is>
          <t>San Borja</t>
        </is>
      </c>
      <c r="D571" t="inlineStr">
        <is>
          <t>30/08/2026</t>
        </is>
      </c>
      <c r="E571" t="n">
        <v>-1</v>
      </c>
      <c r="F571" t="n">
        <v>0</v>
      </c>
      <c r="G571">
        <f>E12997+F12997</f>
        <v/>
      </c>
    </row>
    <row r="572">
      <c r="A572" t="inlineStr">
        <is>
          <t>33621073</t>
        </is>
      </c>
      <c r="B572" t="inlineStr">
        <is>
          <t>PRODUCTO FE8A2E</t>
        </is>
      </c>
      <c r="C572" t="inlineStr">
        <is>
          <t>Jockey Plaza</t>
        </is>
      </c>
      <c r="D572" t="inlineStr">
        <is>
          <t>30/08/2026</t>
        </is>
      </c>
      <c r="E572" t="n">
        <v>1</v>
      </c>
      <c r="F572" t="n">
        <v>0</v>
      </c>
      <c r="G572">
        <f>E13006+F13006</f>
        <v/>
      </c>
    </row>
    <row r="573">
      <c r="A573" t="inlineStr">
        <is>
          <t>33621073</t>
        </is>
      </c>
      <c r="B573" t="inlineStr">
        <is>
          <t>PRODUCTO FE8A2E</t>
        </is>
      </c>
      <c r="C573" t="inlineStr">
        <is>
          <t>San Borja</t>
        </is>
      </c>
      <c r="D573" t="inlineStr">
        <is>
          <t>30/08/2026</t>
        </is>
      </c>
      <c r="E573" t="n">
        <v>1</v>
      </c>
      <c r="F573" t="n">
        <v>0</v>
      </c>
      <c r="G573">
        <f>E13007+F13007</f>
        <v/>
      </c>
    </row>
    <row r="574">
      <c r="A574" t="inlineStr">
        <is>
          <t>33763379</t>
        </is>
      </c>
      <c r="B574" t="inlineStr">
        <is>
          <t>PRODUCTO F2E3F6</t>
        </is>
      </c>
      <c r="C574" t="inlineStr">
        <is>
          <t>Salaverry</t>
        </is>
      </c>
      <c r="D574" t="inlineStr">
        <is>
          <t>30/08/2026</t>
        </is>
      </c>
      <c r="E574" t="n">
        <v>1</v>
      </c>
      <c r="F574" t="n">
        <v>0</v>
      </c>
      <c r="G574">
        <f>E13009+F13009</f>
        <v/>
      </c>
    </row>
    <row r="575">
      <c r="A575" t="inlineStr">
        <is>
          <t>33820383</t>
        </is>
      </c>
      <c r="B575" t="inlineStr">
        <is>
          <t>PRODUCTO C0EC4A</t>
        </is>
      </c>
      <c r="C575" t="inlineStr">
        <is>
          <t>Salaverry</t>
        </is>
      </c>
      <c r="D575" t="inlineStr">
        <is>
          <t>30/08/2026</t>
        </is>
      </c>
      <c r="E575" t="n">
        <v>1</v>
      </c>
      <c r="F575" t="n">
        <v>0</v>
      </c>
      <c r="G575">
        <f>E13066+F13066</f>
        <v/>
      </c>
    </row>
    <row r="576">
      <c r="A576" t="inlineStr">
        <is>
          <t>34186228</t>
        </is>
      </c>
      <c r="B576" t="inlineStr">
        <is>
          <t>PRODUCTO 4C9757</t>
        </is>
      </c>
      <c r="C576" t="inlineStr">
        <is>
          <t>Jockey Plaza</t>
        </is>
      </c>
      <c r="D576" t="inlineStr">
        <is>
          <t>30/08/2026</t>
        </is>
      </c>
      <c r="E576" t="n">
        <v>10</v>
      </c>
      <c r="F576" t="n">
        <v>0</v>
      </c>
      <c r="G576">
        <f>E13116+F13116</f>
        <v/>
      </c>
    </row>
    <row r="577">
      <c r="A577" t="inlineStr">
        <is>
          <t>34186228</t>
        </is>
      </c>
      <c r="B577" t="inlineStr">
        <is>
          <t>PRODUCTO 4C9757</t>
        </is>
      </c>
      <c r="C577" t="inlineStr">
        <is>
          <t>San Miguel</t>
        </is>
      </c>
      <c r="D577" t="inlineStr">
        <is>
          <t>30/08/2026</t>
        </is>
      </c>
      <c r="E577" t="n">
        <v>17</v>
      </c>
      <c r="F577" t="n">
        <v>0</v>
      </c>
      <c r="G577">
        <f>E13117+F13117</f>
        <v/>
      </c>
    </row>
    <row r="578">
      <c r="A578" t="inlineStr">
        <is>
          <t>34186228</t>
        </is>
      </c>
      <c r="B578" t="inlineStr">
        <is>
          <t>PRODUCTO 4C9757</t>
        </is>
      </c>
      <c r="C578" t="inlineStr">
        <is>
          <t>Miraflores</t>
        </is>
      </c>
      <c r="D578" t="inlineStr">
        <is>
          <t>30/08/2026</t>
        </is>
      </c>
      <c r="E578" t="n">
        <v>4</v>
      </c>
      <c r="F578" t="n">
        <v>0</v>
      </c>
      <c r="G578">
        <f>E13118+F13118</f>
        <v/>
      </c>
    </row>
    <row r="579">
      <c r="A579" t="inlineStr">
        <is>
          <t>34186228</t>
        </is>
      </c>
      <c r="B579" t="inlineStr">
        <is>
          <t>PRODUCTO 4C9757</t>
        </is>
      </c>
      <c r="C579" t="inlineStr">
        <is>
          <t>San Borja</t>
        </is>
      </c>
      <c r="D579" t="inlineStr">
        <is>
          <t>30/08/2026</t>
        </is>
      </c>
      <c r="E579" t="n">
        <v>9</v>
      </c>
      <c r="F579" t="n">
        <v>0</v>
      </c>
      <c r="G579">
        <f>E13125+F13125</f>
        <v/>
      </c>
    </row>
    <row r="580">
      <c r="A580" t="inlineStr">
        <is>
          <t>34186228</t>
        </is>
      </c>
      <c r="B580" t="inlineStr">
        <is>
          <t>PRODUCTO 4C9757</t>
        </is>
      </c>
      <c r="C580" t="inlineStr">
        <is>
          <t>Piura</t>
        </is>
      </c>
      <c r="D580" t="inlineStr">
        <is>
          <t>30/08/2026</t>
        </is>
      </c>
      <c r="E580" t="n">
        <v>12</v>
      </c>
      <c r="F580" t="n">
        <v>0</v>
      </c>
      <c r="G580">
        <f>E13128+F13128</f>
        <v/>
      </c>
    </row>
    <row r="581">
      <c r="A581" t="inlineStr">
        <is>
          <t>35040381</t>
        </is>
      </c>
      <c r="B581" t="inlineStr">
        <is>
          <t>PRODUCTO F0C252</t>
        </is>
      </c>
      <c r="C581" t="inlineStr">
        <is>
          <t>Miraflores</t>
        </is>
      </c>
      <c r="D581" t="inlineStr">
        <is>
          <t>30/08/2026</t>
        </is>
      </c>
      <c r="E581" t="n">
        <v>1</v>
      </c>
      <c r="F581" t="n">
        <v>0</v>
      </c>
      <c r="G581">
        <f>E13191+F13191</f>
        <v/>
      </c>
    </row>
    <row r="582">
      <c r="A582" t="inlineStr">
        <is>
          <t>35040381</t>
        </is>
      </c>
      <c r="B582" t="inlineStr">
        <is>
          <t>PRODUCTO F0C252</t>
        </is>
      </c>
      <c r="C582" t="inlineStr">
        <is>
          <t>San Borja</t>
        </is>
      </c>
      <c r="D582" t="inlineStr">
        <is>
          <t>30/08/2026</t>
        </is>
      </c>
      <c r="E582" t="n">
        <v>1</v>
      </c>
      <c r="F582" t="n">
        <v>0</v>
      </c>
      <c r="G582">
        <f>E13196+F13196</f>
        <v/>
      </c>
    </row>
    <row r="583">
      <c r="A583" t="inlineStr">
        <is>
          <t>35471795</t>
        </is>
      </c>
      <c r="B583" t="inlineStr">
        <is>
          <t>PRODUCTO 384F79</t>
        </is>
      </c>
      <c r="C583" t="inlineStr">
        <is>
          <t>Jockey Plaza</t>
        </is>
      </c>
      <c r="D583" t="inlineStr">
        <is>
          <t>30/08/2026</t>
        </is>
      </c>
      <c r="E583" t="n">
        <v>12</v>
      </c>
      <c r="F583" t="n">
        <v>0</v>
      </c>
      <c r="G583">
        <f>E13288+F13288</f>
        <v/>
      </c>
    </row>
    <row r="584">
      <c r="A584" t="inlineStr">
        <is>
          <t>35471795</t>
        </is>
      </c>
      <c r="B584" t="inlineStr">
        <is>
          <t>PRODUCTO 384F79</t>
        </is>
      </c>
      <c r="C584" t="inlineStr">
        <is>
          <t>San Miguel</t>
        </is>
      </c>
      <c r="D584" t="inlineStr">
        <is>
          <t>30/08/2026</t>
        </is>
      </c>
      <c r="E584" t="n">
        <v>6</v>
      </c>
      <c r="F584" t="n">
        <v>0</v>
      </c>
      <c r="G584">
        <f>E13289+F13289</f>
        <v/>
      </c>
    </row>
    <row r="585">
      <c r="A585" t="inlineStr">
        <is>
          <t>35471795</t>
        </is>
      </c>
      <c r="B585" t="inlineStr">
        <is>
          <t>PRODUCTO 384F79</t>
        </is>
      </c>
      <c r="C585" t="inlineStr">
        <is>
          <t>Miraflores</t>
        </is>
      </c>
      <c r="D585" t="inlineStr">
        <is>
          <t>30/08/2026</t>
        </is>
      </c>
      <c r="E585" t="n">
        <v>5</v>
      </c>
      <c r="F585" t="n">
        <v>0</v>
      </c>
      <c r="G585">
        <f>E13290+F13290</f>
        <v/>
      </c>
    </row>
    <row r="586">
      <c r="A586" t="inlineStr">
        <is>
          <t>35471795</t>
        </is>
      </c>
      <c r="B586" t="inlineStr">
        <is>
          <t>PRODUCTO 384F79</t>
        </is>
      </c>
      <c r="C586" t="inlineStr">
        <is>
          <t>San Borja</t>
        </is>
      </c>
      <c r="D586" t="inlineStr">
        <is>
          <t>30/08/2026</t>
        </is>
      </c>
      <c r="E586" t="n">
        <v>12</v>
      </c>
      <c r="F586" t="n">
        <v>0</v>
      </c>
      <c r="G586">
        <f>E13292+F13292</f>
        <v/>
      </c>
    </row>
    <row r="587">
      <c r="A587" t="inlineStr">
        <is>
          <t>35471810</t>
        </is>
      </c>
      <c r="B587" t="inlineStr">
        <is>
          <t>PRODUCTO A28C89</t>
        </is>
      </c>
      <c r="C587" t="inlineStr">
        <is>
          <t>Jockey Plaza</t>
        </is>
      </c>
      <c r="D587" t="inlineStr">
        <is>
          <t>30/08/2026</t>
        </is>
      </c>
      <c r="E587" t="n">
        <v>5</v>
      </c>
      <c r="F587" t="n">
        <v>0</v>
      </c>
      <c r="G587">
        <f>E13293+F13293</f>
        <v/>
      </c>
    </row>
    <row r="588">
      <c r="A588" t="inlineStr">
        <is>
          <t>35471810</t>
        </is>
      </c>
      <c r="B588" t="inlineStr">
        <is>
          <t>PRODUCTO A28C89</t>
        </is>
      </c>
      <c r="C588" t="inlineStr">
        <is>
          <t>San Miguel</t>
        </is>
      </c>
      <c r="D588" t="inlineStr">
        <is>
          <t>30/08/2026</t>
        </is>
      </c>
      <c r="E588" t="n">
        <v>1</v>
      </c>
      <c r="F588" t="n">
        <v>0</v>
      </c>
      <c r="G588">
        <f>E13294+F13294</f>
        <v/>
      </c>
    </row>
    <row r="589">
      <c r="A589" t="inlineStr">
        <is>
          <t>35471810</t>
        </is>
      </c>
      <c r="B589" t="inlineStr">
        <is>
          <t>PRODUCTO A28C89</t>
        </is>
      </c>
      <c r="C589" t="inlineStr">
        <is>
          <t>Miraflores</t>
        </is>
      </c>
      <c r="D589" t="inlineStr">
        <is>
          <t>30/08/2026</t>
        </is>
      </c>
      <c r="E589" t="n">
        <v>11</v>
      </c>
      <c r="F589" t="n">
        <v>0</v>
      </c>
      <c r="G589">
        <f>E13295+F13295</f>
        <v/>
      </c>
    </row>
    <row r="590">
      <c r="A590" t="inlineStr">
        <is>
          <t>35471810</t>
        </is>
      </c>
      <c r="B590" t="inlineStr">
        <is>
          <t>PRODUCTO A28C89</t>
        </is>
      </c>
      <c r="C590" t="inlineStr">
        <is>
          <t>Salaverry</t>
        </is>
      </c>
      <c r="D590" t="inlineStr">
        <is>
          <t>30/08/2026</t>
        </is>
      </c>
      <c r="E590" t="n">
        <v>22</v>
      </c>
      <c r="F590" t="n">
        <v>0</v>
      </c>
      <c r="G590">
        <f>E13299+F13299</f>
        <v/>
      </c>
    </row>
    <row r="591">
      <c r="A591" t="inlineStr">
        <is>
          <t>35471810</t>
        </is>
      </c>
      <c r="B591" t="inlineStr">
        <is>
          <t>PRODUCTO A28C89</t>
        </is>
      </c>
      <c r="C591" t="inlineStr">
        <is>
          <t>San Borja</t>
        </is>
      </c>
      <c r="D591" t="inlineStr">
        <is>
          <t>30/08/2026</t>
        </is>
      </c>
      <c r="E591" t="n">
        <v>1</v>
      </c>
      <c r="F591" t="n">
        <v>0</v>
      </c>
      <c r="G591">
        <f>E13300+F13300</f>
        <v/>
      </c>
    </row>
    <row r="592">
      <c r="A592" t="inlineStr">
        <is>
          <t>35471810</t>
        </is>
      </c>
      <c r="B592" t="inlineStr">
        <is>
          <t>PRODUCTO A28C89</t>
        </is>
      </c>
      <c r="C592" t="inlineStr">
        <is>
          <t>Piura</t>
        </is>
      </c>
      <c r="D592" t="inlineStr">
        <is>
          <t>30/08/2026</t>
        </is>
      </c>
      <c r="E592" t="n">
        <v>6</v>
      </c>
      <c r="F592" t="n">
        <v>0</v>
      </c>
      <c r="G592">
        <f>E13302+F13302</f>
        <v/>
      </c>
    </row>
    <row r="593">
      <c r="A593" t="inlineStr">
        <is>
          <t>35856343</t>
        </is>
      </c>
      <c r="B593" t="inlineStr">
        <is>
          <t>PRODUCTO 5507EC</t>
        </is>
      </c>
      <c r="C593" t="inlineStr">
        <is>
          <t>Salaverry</t>
        </is>
      </c>
      <c r="D593" t="inlineStr">
        <is>
          <t>30/08/2026</t>
        </is>
      </c>
      <c r="E593" t="n">
        <v>1</v>
      </c>
      <c r="F593" t="n">
        <v>0</v>
      </c>
      <c r="G593">
        <f>E13366+F13366</f>
        <v/>
      </c>
    </row>
    <row r="594">
      <c r="A594" t="inlineStr">
        <is>
          <t>36160394</t>
        </is>
      </c>
      <c r="B594" t="inlineStr">
        <is>
          <t>PRODUCTO BF8967</t>
        </is>
      </c>
      <c r="C594" t="inlineStr">
        <is>
          <t>Jockey Plaza</t>
        </is>
      </c>
      <c r="D594" t="inlineStr">
        <is>
          <t>30/08/2026</t>
        </is>
      </c>
      <c r="E594" t="n">
        <v>47</v>
      </c>
      <c r="F594" t="n">
        <v>0</v>
      </c>
      <c r="G594">
        <f>E13484+F13484</f>
        <v/>
      </c>
    </row>
    <row r="595">
      <c r="A595" t="inlineStr">
        <is>
          <t>36160394</t>
        </is>
      </c>
      <c r="B595" t="inlineStr">
        <is>
          <t>PRODUCTO BF8967</t>
        </is>
      </c>
      <c r="C595" t="inlineStr">
        <is>
          <t>San Miguel</t>
        </is>
      </c>
      <c r="D595" t="inlineStr">
        <is>
          <t>30/08/2026</t>
        </is>
      </c>
      <c r="E595" t="n">
        <v>19</v>
      </c>
      <c r="F595" t="n">
        <v>0</v>
      </c>
      <c r="G595">
        <f>E13485+F13485</f>
        <v/>
      </c>
    </row>
    <row r="596">
      <c r="A596" t="inlineStr">
        <is>
          <t>36160394</t>
        </is>
      </c>
      <c r="B596" t="inlineStr">
        <is>
          <t>PRODUCTO BF8967</t>
        </is>
      </c>
      <c r="C596" t="inlineStr">
        <is>
          <t>Miraflores</t>
        </is>
      </c>
      <c r="D596" t="inlineStr">
        <is>
          <t>30/08/2026</t>
        </is>
      </c>
      <c r="E596" t="n">
        <v>13</v>
      </c>
      <c r="F596" t="n">
        <v>0</v>
      </c>
      <c r="G596">
        <f>E13486+F13486</f>
        <v/>
      </c>
    </row>
    <row r="597">
      <c r="A597" t="inlineStr">
        <is>
          <t>36160394</t>
        </is>
      </c>
      <c r="B597" t="inlineStr">
        <is>
          <t>PRODUCTO BF8967</t>
        </is>
      </c>
      <c r="C597" t="inlineStr">
        <is>
          <t>Salaverry</t>
        </is>
      </c>
      <c r="D597" t="inlineStr">
        <is>
          <t>30/08/2026</t>
        </is>
      </c>
      <c r="E597" t="n">
        <v>1</v>
      </c>
      <c r="F597" t="n">
        <v>0</v>
      </c>
      <c r="G597">
        <f>E13494+F13494</f>
        <v/>
      </c>
    </row>
    <row r="598">
      <c r="A598" t="inlineStr">
        <is>
          <t>36160394</t>
        </is>
      </c>
      <c r="B598" t="inlineStr">
        <is>
          <t>PRODUCTO BF8967</t>
        </is>
      </c>
      <c r="C598" t="inlineStr">
        <is>
          <t>San Borja</t>
        </is>
      </c>
      <c r="D598" t="inlineStr">
        <is>
          <t>30/08/2026</t>
        </is>
      </c>
      <c r="E598" t="n">
        <v>11</v>
      </c>
      <c r="F598" t="n">
        <v>0</v>
      </c>
      <c r="G598">
        <f>E13495+F13495</f>
        <v/>
      </c>
    </row>
    <row r="599">
      <c r="A599" t="inlineStr">
        <is>
          <t>36160394</t>
        </is>
      </c>
      <c r="B599" t="inlineStr">
        <is>
          <t>PRODUCTO BF8967</t>
        </is>
      </c>
      <c r="C599" t="inlineStr">
        <is>
          <t>Piura</t>
        </is>
      </c>
      <c r="D599" t="inlineStr">
        <is>
          <t>30/08/2026</t>
        </is>
      </c>
      <c r="E599" t="n">
        <v>1</v>
      </c>
      <c r="F599" t="n">
        <v>0</v>
      </c>
      <c r="G599">
        <f>E13498+F13498</f>
        <v/>
      </c>
    </row>
    <row r="600">
      <c r="A600" t="inlineStr">
        <is>
          <t>36165361</t>
        </is>
      </c>
      <c r="B600" t="inlineStr">
        <is>
          <t>PRODUCTO 2DEC5E</t>
        </is>
      </c>
      <c r="C600" t="inlineStr">
        <is>
          <t>San Miguel</t>
        </is>
      </c>
      <c r="D600" t="inlineStr">
        <is>
          <t>30/08/2026</t>
        </is>
      </c>
      <c r="E600" t="n">
        <v>3</v>
      </c>
      <c r="F600" t="n">
        <v>0</v>
      </c>
      <c r="G600">
        <f>E13568+F13568</f>
        <v/>
      </c>
    </row>
    <row r="601">
      <c r="A601" t="inlineStr">
        <is>
          <t>36165361</t>
        </is>
      </c>
      <c r="B601" t="inlineStr">
        <is>
          <t>PRODUCTO 2DEC5E</t>
        </is>
      </c>
      <c r="C601" t="inlineStr">
        <is>
          <t>Miraflores</t>
        </is>
      </c>
      <c r="D601" t="inlineStr">
        <is>
          <t>30/08/2026</t>
        </is>
      </c>
      <c r="E601" t="n">
        <v>8</v>
      </c>
      <c r="F601" t="n">
        <v>0</v>
      </c>
      <c r="G601">
        <f>E13569+F13569</f>
        <v/>
      </c>
    </row>
    <row r="602">
      <c r="A602" t="inlineStr">
        <is>
          <t>36165361</t>
        </is>
      </c>
      <c r="B602" t="inlineStr">
        <is>
          <t>PRODUCTO 2DEC5E</t>
        </is>
      </c>
      <c r="C602" t="inlineStr">
        <is>
          <t>San Borja</t>
        </is>
      </c>
      <c r="D602" t="inlineStr">
        <is>
          <t>30/08/2026</t>
        </is>
      </c>
      <c r="E602" t="n">
        <v>6</v>
      </c>
      <c r="F602" t="n">
        <v>0</v>
      </c>
      <c r="G602">
        <f>E13576+F13576</f>
        <v/>
      </c>
    </row>
    <row r="603">
      <c r="A603" t="inlineStr">
        <is>
          <t>36165361</t>
        </is>
      </c>
      <c r="B603" t="inlineStr">
        <is>
          <t>PRODUCTO 2DEC5E</t>
        </is>
      </c>
      <c r="C603" t="inlineStr">
        <is>
          <t>Piura</t>
        </is>
      </c>
      <c r="D603" t="inlineStr">
        <is>
          <t>30/08/2026</t>
        </is>
      </c>
      <c r="E603" t="n">
        <v>5</v>
      </c>
      <c r="F603" t="n">
        <v>0</v>
      </c>
      <c r="G603">
        <f>E13579+F13579</f>
        <v/>
      </c>
    </row>
    <row r="604">
      <c r="A604" t="inlineStr">
        <is>
          <t>36179757</t>
        </is>
      </c>
      <c r="B604" t="inlineStr">
        <is>
          <t>PRODUCTO 146637</t>
        </is>
      </c>
      <c r="C604" t="inlineStr">
        <is>
          <t>Jockey Plaza</t>
        </is>
      </c>
      <c r="D604" t="inlineStr">
        <is>
          <t>30/08/2026</t>
        </is>
      </c>
      <c r="E604" t="n">
        <v>2</v>
      </c>
      <c r="F604" t="n">
        <v>0</v>
      </c>
      <c r="G604">
        <f>E13691+F13691</f>
        <v/>
      </c>
    </row>
    <row r="605">
      <c r="A605" t="inlineStr">
        <is>
          <t>36179757</t>
        </is>
      </c>
      <c r="B605" t="inlineStr">
        <is>
          <t>PRODUCTO 146637</t>
        </is>
      </c>
      <c r="C605" t="inlineStr">
        <is>
          <t>San Miguel</t>
        </is>
      </c>
      <c r="D605" t="inlineStr">
        <is>
          <t>30/08/2026</t>
        </is>
      </c>
      <c r="E605" t="n">
        <v>2</v>
      </c>
      <c r="F605" t="n">
        <v>0</v>
      </c>
      <c r="G605">
        <f>E13692+F13692</f>
        <v/>
      </c>
    </row>
    <row r="606">
      <c r="A606" t="inlineStr">
        <is>
          <t>36179757</t>
        </is>
      </c>
      <c r="B606" t="inlineStr">
        <is>
          <t>PRODUCTO 146637</t>
        </is>
      </c>
      <c r="C606" t="inlineStr">
        <is>
          <t>Miraflores</t>
        </is>
      </c>
      <c r="D606" t="inlineStr">
        <is>
          <t>30/08/2026</t>
        </is>
      </c>
      <c r="E606" t="n">
        <v>4</v>
      </c>
      <c r="F606" t="n">
        <v>0</v>
      </c>
      <c r="G606">
        <f>E13693+F13693</f>
        <v/>
      </c>
    </row>
    <row r="607">
      <c r="A607" t="inlineStr">
        <is>
          <t>36179757</t>
        </is>
      </c>
      <c r="B607" t="inlineStr">
        <is>
          <t>PRODUCTO 146637</t>
        </is>
      </c>
      <c r="C607" t="inlineStr">
        <is>
          <t>Salaverry</t>
        </is>
      </c>
      <c r="D607" t="inlineStr">
        <is>
          <t>30/08/2026</t>
        </is>
      </c>
      <c r="E607" t="n">
        <v>2</v>
      </c>
      <c r="F607" t="n">
        <v>0</v>
      </c>
      <c r="G607">
        <f>E13697+F13697</f>
        <v/>
      </c>
    </row>
    <row r="608">
      <c r="A608" t="inlineStr">
        <is>
          <t>36179757</t>
        </is>
      </c>
      <c r="B608" t="inlineStr">
        <is>
          <t>PRODUCTO 146637</t>
        </is>
      </c>
      <c r="C608" t="inlineStr">
        <is>
          <t>San Borja</t>
        </is>
      </c>
      <c r="D608" t="inlineStr">
        <is>
          <t>30/08/2026</t>
        </is>
      </c>
      <c r="E608" t="n">
        <v>7</v>
      </c>
      <c r="F608" t="n">
        <v>0</v>
      </c>
      <c r="G608">
        <f>E13698+F13698</f>
        <v/>
      </c>
    </row>
    <row r="609">
      <c r="A609" t="inlineStr">
        <is>
          <t>36179757</t>
        </is>
      </c>
      <c r="B609" t="inlineStr">
        <is>
          <t>PRODUCTO 146637</t>
        </is>
      </c>
      <c r="C609" t="inlineStr">
        <is>
          <t>Piura</t>
        </is>
      </c>
      <c r="D609" t="inlineStr">
        <is>
          <t>30/08/2026</t>
        </is>
      </c>
      <c r="E609" t="n">
        <v>1</v>
      </c>
      <c r="F609" t="n">
        <v>0</v>
      </c>
      <c r="G609">
        <f>E13700+F13700</f>
        <v/>
      </c>
    </row>
    <row r="610">
      <c r="A610" t="inlineStr">
        <is>
          <t>36350454</t>
        </is>
      </c>
      <c r="B610" t="inlineStr">
        <is>
          <t>PRODUCTO 9E4125</t>
        </is>
      </c>
      <c r="C610" t="inlineStr">
        <is>
          <t>Jockey Plaza</t>
        </is>
      </c>
      <c r="D610" t="inlineStr">
        <is>
          <t>30/08/2026</t>
        </is>
      </c>
      <c r="E610" t="n">
        <v>4</v>
      </c>
      <c r="F610" t="n">
        <v>0</v>
      </c>
      <c r="G610">
        <f>E13859+F13859</f>
        <v/>
      </c>
    </row>
    <row r="611">
      <c r="A611" t="inlineStr">
        <is>
          <t>36350454</t>
        </is>
      </c>
      <c r="B611" t="inlineStr">
        <is>
          <t>PRODUCTO 9E4125</t>
        </is>
      </c>
      <c r="C611" t="inlineStr">
        <is>
          <t>Miraflores</t>
        </is>
      </c>
      <c r="D611" t="inlineStr">
        <is>
          <t>30/08/2026</t>
        </is>
      </c>
      <c r="E611" t="n">
        <v>2</v>
      </c>
      <c r="F611" t="n">
        <v>0</v>
      </c>
      <c r="G611">
        <f>E13860+F13860</f>
        <v/>
      </c>
    </row>
    <row r="612">
      <c r="A612" t="inlineStr">
        <is>
          <t>36350454</t>
        </is>
      </c>
      <c r="B612" t="inlineStr">
        <is>
          <t>PRODUCTO 9E4125</t>
        </is>
      </c>
      <c r="C612" t="inlineStr">
        <is>
          <t>Salaverry</t>
        </is>
      </c>
      <c r="D612" t="inlineStr">
        <is>
          <t>30/08/2026</t>
        </is>
      </c>
      <c r="E612" t="n">
        <v>2</v>
      </c>
      <c r="F612" t="n">
        <v>0</v>
      </c>
      <c r="G612">
        <f>E13863+F13863</f>
        <v/>
      </c>
    </row>
    <row r="613">
      <c r="A613" t="inlineStr">
        <is>
          <t>36350454</t>
        </is>
      </c>
      <c r="B613" t="inlineStr">
        <is>
          <t>PRODUCTO 9E4125</t>
        </is>
      </c>
      <c r="C613" t="inlineStr">
        <is>
          <t>Piura</t>
        </is>
      </c>
      <c r="D613" t="inlineStr">
        <is>
          <t>30/08/2026</t>
        </is>
      </c>
      <c r="E613" t="n">
        <v>2</v>
      </c>
      <c r="F613" t="n">
        <v>0</v>
      </c>
      <c r="G613">
        <f>E13865+F13865</f>
        <v/>
      </c>
    </row>
    <row r="614">
      <c r="A614" t="inlineStr">
        <is>
          <t>36350497</t>
        </is>
      </c>
      <c r="B614" t="inlineStr">
        <is>
          <t>PRODUCTO A6A2A1</t>
        </is>
      </c>
      <c r="C614" t="inlineStr">
        <is>
          <t>Miraflores</t>
        </is>
      </c>
      <c r="D614" t="inlineStr">
        <is>
          <t>30/08/2026</t>
        </is>
      </c>
      <c r="E614" t="n">
        <v>-9</v>
      </c>
      <c r="F614" t="n">
        <v>0</v>
      </c>
      <c r="G614">
        <f>E13869+F13869</f>
        <v/>
      </c>
    </row>
    <row r="615">
      <c r="A615" t="inlineStr">
        <is>
          <t>36350497</t>
        </is>
      </c>
      <c r="B615" t="inlineStr">
        <is>
          <t>PRODUCTO A6A2A1</t>
        </is>
      </c>
      <c r="C615" t="inlineStr">
        <is>
          <t>Salaverry</t>
        </is>
      </c>
      <c r="D615" t="inlineStr">
        <is>
          <t>30/08/2026</t>
        </is>
      </c>
      <c r="E615" t="n">
        <v>-1</v>
      </c>
      <c r="F615" t="n">
        <v>0</v>
      </c>
      <c r="G615">
        <f>E13870+F13870</f>
        <v/>
      </c>
    </row>
    <row r="616">
      <c r="A616" t="inlineStr">
        <is>
          <t>36350586</t>
        </is>
      </c>
      <c r="B616" t="inlineStr">
        <is>
          <t>PRODUCTO C9FE82</t>
        </is>
      </c>
      <c r="C616" t="inlineStr">
        <is>
          <t>Jockey Plaza</t>
        </is>
      </c>
      <c r="D616" t="inlineStr">
        <is>
          <t>30/08/2026</t>
        </is>
      </c>
      <c r="E616" t="n">
        <v>1</v>
      </c>
      <c r="F616" t="n">
        <v>0</v>
      </c>
      <c r="G616">
        <f>E13924+F13924</f>
        <v/>
      </c>
    </row>
    <row r="617">
      <c r="A617" t="inlineStr">
        <is>
          <t>36350586</t>
        </is>
      </c>
      <c r="B617" t="inlineStr">
        <is>
          <t>PRODUCTO C9FE82</t>
        </is>
      </c>
      <c r="C617" t="inlineStr">
        <is>
          <t>Miraflores</t>
        </is>
      </c>
      <c r="D617" t="inlineStr">
        <is>
          <t>30/08/2026</t>
        </is>
      </c>
      <c r="E617" t="n">
        <v>2</v>
      </c>
      <c r="F617" t="n">
        <v>0</v>
      </c>
      <c r="G617">
        <f>E13925+F13925</f>
        <v/>
      </c>
    </row>
    <row r="618">
      <c r="A618" t="inlineStr">
        <is>
          <t>36350586</t>
        </is>
      </c>
      <c r="B618" t="inlineStr">
        <is>
          <t>PRODUCTO C9FE82</t>
        </is>
      </c>
      <c r="C618" t="inlineStr">
        <is>
          <t>Salaverry</t>
        </is>
      </c>
      <c r="D618" t="inlineStr">
        <is>
          <t>30/08/2026</t>
        </is>
      </c>
      <c r="E618" t="n">
        <v>16</v>
      </c>
      <c r="F618" t="n">
        <v>0</v>
      </c>
      <c r="G618">
        <f>E13927+F13927</f>
        <v/>
      </c>
    </row>
    <row r="619">
      <c r="A619" t="inlineStr">
        <is>
          <t>36350596</t>
        </is>
      </c>
      <c r="B619" t="inlineStr">
        <is>
          <t>PRODUCTO 65BC9B</t>
        </is>
      </c>
      <c r="C619" t="inlineStr">
        <is>
          <t>Jockey Plaza</t>
        </is>
      </c>
      <c r="D619" t="inlineStr">
        <is>
          <t>30/08/2026</t>
        </is>
      </c>
      <c r="E619" t="n">
        <v>2</v>
      </c>
      <c r="F619" t="n">
        <v>0</v>
      </c>
      <c r="G619">
        <f>E13938+F13938</f>
        <v/>
      </c>
    </row>
    <row r="620">
      <c r="A620" t="inlineStr">
        <is>
          <t>36350596</t>
        </is>
      </c>
      <c r="B620" t="inlineStr">
        <is>
          <t>PRODUCTO 65BC9B</t>
        </is>
      </c>
      <c r="C620" t="inlineStr">
        <is>
          <t>Miraflores</t>
        </is>
      </c>
      <c r="D620" t="inlineStr">
        <is>
          <t>30/08/2026</t>
        </is>
      </c>
      <c r="E620" t="n">
        <v>5</v>
      </c>
      <c r="F620" t="n">
        <v>0</v>
      </c>
      <c r="G620">
        <f>E13939+F13939</f>
        <v/>
      </c>
    </row>
    <row r="621">
      <c r="A621" t="inlineStr">
        <is>
          <t>36350596</t>
        </is>
      </c>
      <c r="B621" t="inlineStr">
        <is>
          <t>PRODUCTO 65BC9B</t>
        </is>
      </c>
      <c r="C621" t="inlineStr">
        <is>
          <t>Salaverry</t>
        </is>
      </c>
      <c r="D621" t="inlineStr">
        <is>
          <t>30/08/2026</t>
        </is>
      </c>
      <c r="E621" t="n">
        <v>14</v>
      </c>
      <c r="F621" t="n">
        <v>0</v>
      </c>
      <c r="G621">
        <f>E13943+F13943</f>
        <v/>
      </c>
    </row>
    <row r="622">
      <c r="A622" t="inlineStr">
        <is>
          <t>36350596</t>
        </is>
      </c>
      <c r="B622" t="inlineStr">
        <is>
          <t>PRODUCTO 65BC9B</t>
        </is>
      </c>
      <c r="C622" t="inlineStr">
        <is>
          <t>San Borja</t>
        </is>
      </c>
      <c r="D622" t="inlineStr">
        <is>
          <t>30/08/2026</t>
        </is>
      </c>
      <c r="E622" t="n">
        <v>2</v>
      </c>
      <c r="F622" t="n">
        <v>0</v>
      </c>
      <c r="G622">
        <f>E13944+F13944</f>
        <v/>
      </c>
    </row>
    <row r="623">
      <c r="A623" t="inlineStr">
        <is>
          <t>36350596</t>
        </is>
      </c>
      <c r="B623" t="inlineStr">
        <is>
          <t>PRODUCTO 65BC9B</t>
        </is>
      </c>
      <c r="C623" t="inlineStr">
        <is>
          <t>Piura</t>
        </is>
      </c>
      <c r="D623" t="inlineStr">
        <is>
          <t>30/08/2026</t>
        </is>
      </c>
      <c r="E623" t="n">
        <v>4</v>
      </c>
      <c r="F623" t="n">
        <v>0</v>
      </c>
      <c r="G623">
        <f>E13947+F13947</f>
        <v/>
      </c>
    </row>
    <row r="624">
      <c r="A624" t="inlineStr">
        <is>
          <t>36440789</t>
        </is>
      </c>
      <c r="B624" t="inlineStr">
        <is>
          <t>PRODUCTO 0ADA6B</t>
        </is>
      </c>
      <c r="C624" t="inlineStr">
        <is>
          <t>Jockey Plaza</t>
        </is>
      </c>
      <c r="D624" t="inlineStr">
        <is>
          <t>30/08/2026</t>
        </is>
      </c>
      <c r="E624" t="n">
        <v>26</v>
      </c>
      <c r="F624" t="n">
        <v>0</v>
      </c>
      <c r="G624">
        <f>E14088+F14088</f>
        <v/>
      </c>
    </row>
    <row r="625">
      <c r="A625" t="inlineStr">
        <is>
          <t>36440789</t>
        </is>
      </c>
      <c r="B625" t="inlineStr">
        <is>
          <t>PRODUCTO 0ADA6B</t>
        </is>
      </c>
      <c r="C625" t="inlineStr">
        <is>
          <t>San Miguel</t>
        </is>
      </c>
      <c r="D625" t="inlineStr">
        <is>
          <t>30/08/2026</t>
        </is>
      </c>
      <c r="E625" t="n">
        <v>77</v>
      </c>
      <c r="F625" t="n">
        <v>0</v>
      </c>
      <c r="G625">
        <f>E14089+F14089</f>
        <v/>
      </c>
    </row>
    <row r="626">
      <c r="A626" t="inlineStr">
        <is>
          <t>36440789</t>
        </is>
      </c>
      <c r="B626" t="inlineStr">
        <is>
          <t>PRODUCTO 0ADA6B</t>
        </is>
      </c>
      <c r="C626" t="inlineStr">
        <is>
          <t>Miraflores</t>
        </is>
      </c>
      <c r="D626" t="inlineStr">
        <is>
          <t>30/08/2026</t>
        </is>
      </c>
      <c r="E626" t="n">
        <v>15</v>
      </c>
      <c r="F626" t="n">
        <v>0</v>
      </c>
      <c r="G626">
        <f>E14090+F14090</f>
        <v/>
      </c>
    </row>
    <row r="627">
      <c r="A627" t="inlineStr">
        <is>
          <t>36440789</t>
        </is>
      </c>
      <c r="B627" t="inlineStr">
        <is>
          <t>PRODUCTO 0ADA6B</t>
        </is>
      </c>
      <c r="C627" t="inlineStr">
        <is>
          <t>Salaverry</t>
        </is>
      </c>
      <c r="D627" t="inlineStr">
        <is>
          <t>30/08/2026</t>
        </is>
      </c>
      <c r="E627" t="n">
        <v>22</v>
      </c>
      <c r="F627" t="n">
        <v>0</v>
      </c>
      <c r="G627">
        <f>E14092+F14092</f>
        <v/>
      </c>
    </row>
    <row r="628">
      <c r="A628" t="inlineStr">
        <is>
          <t>36440789</t>
        </is>
      </c>
      <c r="B628" t="inlineStr">
        <is>
          <t>PRODUCTO 0ADA6B</t>
        </is>
      </c>
      <c r="C628" t="inlineStr">
        <is>
          <t>San Borja</t>
        </is>
      </c>
      <c r="D628" t="inlineStr">
        <is>
          <t>30/08/2026</t>
        </is>
      </c>
      <c r="E628" t="n">
        <v>35</v>
      </c>
      <c r="F628" t="n">
        <v>0</v>
      </c>
      <c r="G628">
        <f>E14093+F14093</f>
        <v/>
      </c>
    </row>
    <row r="629">
      <c r="A629" t="inlineStr">
        <is>
          <t>36440789</t>
        </is>
      </c>
      <c r="B629" t="inlineStr">
        <is>
          <t>PRODUCTO 0ADA6B</t>
        </is>
      </c>
      <c r="C629" t="inlineStr">
        <is>
          <t>Piura</t>
        </is>
      </c>
      <c r="D629" t="inlineStr">
        <is>
          <t>30/08/2026</t>
        </is>
      </c>
      <c r="E629" t="n">
        <v>2</v>
      </c>
      <c r="F629" t="n">
        <v>0</v>
      </c>
      <c r="G629">
        <f>E14095+F14095</f>
        <v/>
      </c>
    </row>
    <row r="630">
      <c r="A630" t="inlineStr">
        <is>
          <t>36440873</t>
        </is>
      </c>
      <c r="B630" t="inlineStr">
        <is>
          <t>PRODUCTO 7FB133</t>
        </is>
      </c>
      <c r="C630" t="inlineStr">
        <is>
          <t>Jockey Plaza</t>
        </is>
      </c>
      <c r="D630" t="inlineStr">
        <is>
          <t>30/08/2026</t>
        </is>
      </c>
      <c r="E630" t="n">
        <v>1</v>
      </c>
      <c r="F630" t="n">
        <v>0</v>
      </c>
      <c r="G630">
        <f>E14160+F14160</f>
        <v/>
      </c>
    </row>
    <row r="631">
      <c r="A631" t="inlineStr">
        <is>
          <t>36440873</t>
        </is>
      </c>
      <c r="B631" t="inlineStr">
        <is>
          <t>PRODUCTO 7FB133</t>
        </is>
      </c>
      <c r="C631" t="inlineStr">
        <is>
          <t>San Miguel</t>
        </is>
      </c>
      <c r="D631" t="inlineStr">
        <is>
          <t>30/08/2026</t>
        </is>
      </c>
      <c r="E631" t="n">
        <v>3</v>
      </c>
      <c r="F631" t="n">
        <v>0</v>
      </c>
      <c r="G631">
        <f>E14161+F14161</f>
        <v/>
      </c>
    </row>
    <row r="632">
      <c r="A632" t="inlineStr">
        <is>
          <t>36440873</t>
        </is>
      </c>
      <c r="B632" t="inlineStr">
        <is>
          <t>PRODUCTO 7FB133</t>
        </is>
      </c>
      <c r="C632" t="inlineStr">
        <is>
          <t>Miraflores</t>
        </is>
      </c>
      <c r="D632" t="inlineStr">
        <is>
          <t>30/08/2026</t>
        </is>
      </c>
      <c r="E632" t="n">
        <v>1</v>
      </c>
      <c r="F632" t="n">
        <v>0</v>
      </c>
      <c r="G632">
        <f>E14162+F14162</f>
        <v/>
      </c>
    </row>
    <row r="633">
      <c r="A633" t="inlineStr">
        <is>
          <t>36440873</t>
        </is>
      </c>
      <c r="B633" t="inlineStr">
        <is>
          <t>PRODUCTO 7FB133</t>
        </is>
      </c>
      <c r="C633" t="inlineStr">
        <is>
          <t>Salaverry</t>
        </is>
      </c>
      <c r="D633" t="inlineStr">
        <is>
          <t>30/08/2026</t>
        </is>
      </c>
      <c r="E633" t="n">
        <v>1</v>
      </c>
      <c r="F633" t="n">
        <v>0</v>
      </c>
      <c r="G633">
        <f>E14165+F14165</f>
        <v/>
      </c>
    </row>
    <row r="634">
      <c r="A634" t="inlineStr">
        <is>
          <t>36440873</t>
        </is>
      </c>
      <c r="B634" t="inlineStr">
        <is>
          <t>PRODUCTO 7FB133</t>
        </is>
      </c>
      <c r="C634" t="inlineStr">
        <is>
          <t>San Borja</t>
        </is>
      </c>
      <c r="D634" t="inlineStr">
        <is>
          <t>30/08/2026</t>
        </is>
      </c>
      <c r="E634" t="n">
        <v>1</v>
      </c>
      <c r="F634" t="n">
        <v>0</v>
      </c>
      <c r="G634">
        <f>E14166+F14166</f>
        <v/>
      </c>
    </row>
    <row r="635">
      <c r="A635" t="inlineStr">
        <is>
          <t>36454784</t>
        </is>
      </c>
      <c r="B635" t="inlineStr">
        <is>
          <t>PRODUCTO A90A63</t>
        </is>
      </c>
      <c r="C635" t="inlineStr">
        <is>
          <t>Jockey Plaza</t>
        </is>
      </c>
      <c r="D635" t="inlineStr">
        <is>
          <t>30/08/2026</t>
        </is>
      </c>
      <c r="E635" t="n">
        <v>2</v>
      </c>
      <c r="F635" t="n">
        <v>0</v>
      </c>
      <c r="G635">
        <f>E14258+F14258</f>
        <v/>
      </c>
    </row>
    <row r="636">
      <c r="A636" t="inlineStr">
        <is>
          <t>36454784</t>
        </is>
      </c>
      <c r="B636" t="inlineStr">
        <is>
          <t>PRODUCTO A90A63</t>
        </is>
      </c>
      <c r="C636" t="inlineStr">
        <is>
          <t>San Miguel</t>
        </is>
      </c>
      <c r="D636" t="inlineStr">
        <is>
          <t>30/08/2026</t>
        </is>
      </c>
      <c r="E636" t="n">
        <v>2</v>
      </c>
      <c r="F636" t="n">
        <v>0</v>
      </c>
      <c r="G636">
        <f>E14259+F14259</f>
        <v/>
      </c>
    </row>
    <row r="637">
      <c r="A637" t="inlineStr">
        <is>
          <t>36454784</t>
        </is>
      </c>
      <c r="B637" t="inlineStr">
        <is>
          <t>PRODUCTO A90A63</t>
        </is>
      </c>
      <c r="C637" t="inlineStr">
        <is>
          <t>Miraflores</t>
        </is>
      </c>
      <c r="D637" t="inlineStr">
        <is>
          <t>30/08/2026</t>
        </is>
      </c>
      <c r="E637" t="n">
        <v>4</v>
      </c>
      <c r="F637" t="n">
        <v>0</v>
      </c>
      <c r="G637">
        <f>E14260+F14260</f>
        <v/>
      </c>
    </row>
    <row r="638">
      <c r="A638" t="inlineStr">
        <is>
          <t>36454784</t>
        </is>
      </c>
      <c r="B638" t="inlineStr">
        <is>
          <t>PRODUCTO A90A63</t>
        </is>
      </c>
      <c r="C638" t="inlineStr">
        <is>
          <t>Salaverry</t>
        </is>
      </c>
      <c r="D638" t="inlineStr">
        <is>
          <t>30/08/2026</t>
        </is>
      </c>
      <c r="E638" t="n">
        <v>7</v>
      </c>
      <c r="F638" t="n">
        <v>0</v>
      </c>
      <c r="G638">
        <f>E14265+F14265</f>
        <v/>
      </c>
    </row>
    <row r="639">
      <c r="A639" t="inlineStr">
        <is>
          <t>36454784</t>
        </is>
      </c>
      <c r="B639" t="inlineStr">
        <is>
          <t>PRODUCTO A90A63</t>
        </is>
      </c>
      <c r="C639" t="inlineStr">
        <is>
          <t>San Borja</t>
        </is>
      </c>
      <c r="D639" t="inlineStr">
        <is>
          <t>30/08/2026</t>
        </is>
      </c>
      <c r="E639" t="n">
        <v>4</v>
      </c>
      <c r="F639" t="n">
        <v>0</v>
      </c>
      <c r="G639">
        <f>E14266+F14266</f>
        <v/>
      </c>
    </row>
    <row r="640">
      <c r="A640" t="inlineStr">
        <is>
          <t>36519635</t>
        </is>
      </c>
      <c r="B640" t="inlineStr">
        <is>
          <t>PRODUCTO E34D8E</t>
        </is>
      </c>
      <c r="C640" t="inlineStr">
        <is>
          <t>Jockey Plaza</t>
        </is>
      </c>
      <c r="D640" t="inlineStr">
        <is>
          <t>30/08/2026</t>
        </is>
      </c>
      <c r="E640" t="n">
        <v>16</v>
      </c>
      <c r="F640" t="n">
        <v>0</v>
      </c>
      <c r="G640">
        <f>E14312+F14312</f>
        <v/>
      </c>
    </row>
    <row r="641">
      <c r="A641" t="inlineStr">
        <is>
          <t>36519635</t>
        </is>
      </c>
      <c r="B641" t="inlineStr">
        <is>
          <t>PRODUCTO E34D8E</t>
        </is>
      </c>
      <c r="C641" t="inlineStr">
        <is>
          <t>San Miguel</t>
        </is>
      </c>
      <c r="D641" t="inlineStr">
        <is>
          <t>30/08/2026</t>
        </is>
      </c>
      <c r="E641" t="n">
        <v>15</v>
      </c>
      <c r="F641" t="n">
        <v>0</v>
      </c>
      <c r="G641">
        <f>E14313+F14313</f>
        <v/>
      </c>
    </row>
    <row r="642">
      <c r="A642" t="inlineStr">
        <is>
          <t>36519677</t>
        </is>
      </c>
      <c r="B642" t="inlineStr">
        <is>
          <t>PRODUCTO 2828D6</t>
        </is>
      </c>
      <c r="C642" t="inlineStr">
        <is>
          <t>Jockey Plaza</t>
        </is>
      </c>
      <c r="D642" t="inlineStr">
        <is>
          <t>30/08/2026</t>
        </is>
      </c>
      <c r="E642" t="n">
        <v>2</v>
      </c>
      <c r="F642" t="n">
        <v>0</v>
      </c>
      <c r="G642">
        <f>E14355+F14355</f>
        <v/>
      </c>
    </row>
    <row r="643">
      <c r="A643" t="inlineStr">
        <is>
          <t>36519677</t>
        </is>
      </c>
      <c r="B643" t="inlineStr">
        <is>
          <t>PRODUCTO 2828D6</t>
        </is>
      </c>
      <c r="C643" t="inlineStr">
        <is>
          <t>San Miguel</t>
        </is>
      </c>
      <c r="D643" t="inlineStr">
        <is>
          <t>30/08/2026</t>
        </is>
      </c>
      <c r="E643" t="n">
        <v>3</v>
      </c>
      <c r="F643" t="n">
        <v>0</v>
      </c>
      <c r="G643">
        <f>E14356+F14356</f>
        <v/>
      </c>
    </row>
    <row r="644">
      <c r="A644" t="inlineStr">
        <is>
          <t>36519677</t>
        </is>
      </c>
      <c r="B644" t="inlineStr">
        <is>
          <t>PRODUCTO 2828D6</t>
        </is>
      </c>
      <c r="C644" t="inlineStr">
        <is>
          <t>Piura</t>
        </is>
      </c>
      <c r="D644" t="inlineStr">
        <is>
          <t>30/08/2026</t>
        </is>
      </c>
      <c r="E644" t="n">
        <v>1</v>
      </c>
      <c r="F644" t="n">
        <v>0</v>
      </c>
      <c r="G644">
        <f>E14358+F14358</f>
        <v/>
      </c>
    </row>
    <row r="645">
      <c r="A645" t="inlineStr">
        <is>
          <t>36581091</t>
        </is>
      </c>
      <c r="B645" t="inlineStr">
        <is>
          <t>PRODUCTO 967466</t>
        </is>
      </c>
      <c r="C645" t="inlineStr">
        <is>
          <t>Jockey Plaza</t>
        </is>
      </c>
      <c r="D645" t="inlineStr">
        <is>
          <t>30/08/2026</t>
        </is>
      </c>
      <c r="E645" t="n">
        <v>8</v>
      </c>
      <c r="F645" t="n">
        <v>0</v>
      </c>
      <c r="G645">
        <f>E14418+F14418</f>
        <v/>
      </c>
    </row>
    <row r="646">
      <c r="A646" t="inlineStr">
        <is>
          <t>36581091</t>
        </is>
      </c>
      <c r="B646" t="inlineStr">
        <is>
          <t>PRODUCTO 967466</t>
        </is>
      </c>
      <c r="C646" t="inlineStr">
        <is>
          <t>San Miguel</t>
        </is>
      </c>
      <c r="D646" t="inlineStr">
        <is>
          <t>30/08/2026</t>
        </is>
      </c>
      <c r="E646" t="n">
        <v>1</v>
      </c>
      <c r="F646" t="n">
        <v>0</v>
      </c>
      <c r="G646">
        <f>E14419+F14419</f>
        <v/>
      </c>
    </row>
    <row r="647">
      <c r="A647" t="inlineStr">
        <is>
          <t>36581091</t>
        </is>
      </c>
      <c r="B647" t="inlineStr">
        <is>
          <t>PRODUCTO 967466</t>
        </is>
      </c>
      <c r="C647" t="inlineStr">
        <is>
          <t>Miraflores</t>
        </is>
      </c>
      <c r="D647" t="inlineStr">
        <is>
          <t>30/08/2026</t>
        </is>
      </c>
      <c r="E647" t="n">
        <v>1</v>
      </c>
      <c r="F647" t="n">
        <v>0</v>
      </c>
      <c r="G647">
        <f>E14420+F14420</f>
        <v/>
      </c>
    </row>
    <row r="648">
      <c r="A648" t="inlineStr">
        <is>
          <t>36581091</t>
        </is>
      </c>
      <c r="B648" t="inlineStr">
        <is>
          <t>PRODUCTO 967466</t>
        </is>
      </c>
      <c r="C648" t="inlineStr">
        <is>
          <t>Salaverry</t>
        </is>
      </c>
      <c r="D648" t="inlineStr">
        <is>
          <t>30/08/2026</t>
        </is>
      </c>
      <c r="E648" t="n">
        <v>5</v>
      </c>
      <c r="F648" t="n">
        <v>0</v>
      </c>
      <c r="G648">
        <f>E14425+F14425</f>
        <v/>
      </c>
    </row>
    <row r="649">
      <c r="A649" t="inlineStr">
        <is>
          <t>36581091</t>
        </is>
      </c>
      <c r="B649" t="inlineStr">
        <is>
          <t>PRODUCTO 967466</t>
        </is>
      </c>
      <c r="C649" t="inlineStr">
        <is>
          <t>Piura</t>
        </is>
      </c>
      <c r="D649" t="inlineStr">
        <is>
          <t>30/08/2026</t>
        </is>
      </c>
      <c r="E649" t="n">
        <v>3</v>
      </c>
      <c r="F649" t="n">
        <v>0</v>
      </c>
      <c r="G649">
        <f>E14426+F14426</f>
        <v/>
      </c>
    </row>
    <row r="650">
      <c r="A650" t="inlineStr">
        <is>
          <t>36664652</t>
        </is>
      </c>
      <c r="B650" t="inlineStr">
        <is>
          <t>PRODUCTO 97BB21</t>
        </is>
      </c>
      <c r="C650" t="inlineStr">
        <is>
          <t>Jockey Plaza</t>
        </is>
      </c>
      <c r="D650" t="inlineStr">
        <is>
          <t>30/08/2026</t>
        </is>
      </c>
      <c r="E650" t="n">
        <v>12</v>
      </c>
      <c r="F650" t="n">
        <v>0</v>
      </c>
      <c r="G650">
        <f>E14533+F14533</f>
        <v/>
      </c>
    </row>
    <row r="651">
      <c r="A651" t="inlineStr">
        <is>
          <t>36664652</t>
        </is>
      </c>
      <c r="B651" t="inlineStr">
        <is>
          <t>PRODUCTO 97BB21</t>
        </is>
      </c>
      <c r="C651" t="inlineStr">
        <is>
          <t>San Miguel</t>
        </is>
      </c>
      <c r="D651" t="inlineStr">
        <is>
          <t>30/08/2026</t>
        </is>
      </c>
      <c r="E651" t="n">
        <v>12</v>
      </c>
      <c r="F651" t="n">
        <v>0</v>
      </c>
      <c r="G651">
        <f>E14534+F14534</f>
        <v/>
      </c>
    </row>
    <row r="652">
      <c r="A652" t="inlineStr">
        <is>
          <t>36664652</t>
        </is>
      </c>
      <c r="B652" t="inlineStr">
        <is>
          <t>PRODUCTO 97BB21</t>
        </is>
      </c>
      <c r="C652" t="inlineStr">
        <is>
          <t>Miraflores</t>
        </is>
      </c>
      <c r="D652" t="inlineStr">
        <is>
          <t>30/08/2026</t>
        </is>
      </c>
      <c r="E652" t="n">
        <v>13</v>
      </c>
      <c r="F652" t="n">
        <v>0</v>
      </c>
      <c r="G652">
        <f>E14535+F14535</f>
        <v/>
      </c>
    </row>
    <row r="653">
      <c r="A653" t="inlineStr">
        <is>
          <t>36664652</t>
        </is>
      </c>
      <c r="B653" t="inlineStr">
        <is>
          <t>PRODUCTO 97BB21</t>
        </is>
      </c>
      <c r="C653" t="inlineStr">
        <is>
          <t>Salaverry</t>
        </is>
      </c>
      <c r="D653" t="inlineStr">
        <is>
          <t>30/08/2026</t>
        </is>
      </c>
      <c r="E653" t="n">
        <v>9</v>
      </c>
      <c r="F653" t="n">
        <v>0</v>
      </c>
      <c r="G653">
        <f>E14538+F14538</f>
        <v/>
      </c>
    </row>
    <row r="654">
      <c r="A654" t="inlineStr">
        <is>
          <t>36664652</t>
        </is>
      </c>
      <c r="B654" t="inlineStr">
        <is>
          <t>PRODUCTO 97BB21</t>
        </is>
      </c>
      <c r="C654" t="inlineStr">
        <is>
          <t>Piura</t>
        </is>
      </c>
      <c r="D654" t="inlineStr">
        <is>
          <t>30/08/2026</t>
        </is>
      </c>
      <c r="E654" t="n">
        <v>6</v>
      </c>
      <c r="F654" t="n">
        <v>0</v>
      </c>
      <c r="G654">
        <f>E14541+F14541</f>
        <v/>
      </c>
    </row>
    <row r="655">
      <c r="A655" t="inlineStr">
        <is>
          <t>36664661</t>
        </is>
      </c>
      <c r="B655" t="inlineStr">
        <is>
          <t>PRODUCTO 422168</t>
        </is>
      </c>
      <c r="C655" t="inlineStr">
        <is>
          <t>Jockey Plaza</t>
        </is>
      </c>
      <c r="D655" t="inlineStr">
        <is>
          <t>30/08/2026</t>
        </is>
      </c>
      <c r="E655" t="n">
        <v>5</v>
      </c>
      <c r="F655" t="n">
        <v>0</v>
      </c>
      <c r="G655">
        <f>E14546+F14546</f>
        <v/>
      </c>
    </row>
    <row r="656">
      <c r="A656" t="inlineStr">
        <is>
          <t>36664661</t>
        </is>
      </c>
      <c r="B656" t="inlineStr">
        <is>
          <t>PRODUCTO 422168</t>
        </is>
      </c>
      <c r="C656" t="inlineStr">
        <is>
          <t>San Miguel</t>
        </is>
      </c>
      <c r="D656" t="inlineStr">
        <is>
          <t>30/08/2026</t>
        </is>
      </c>
      <c r="E656" t="n">
        <v>1</v>
      </c>
      <c r="F656" t="n">
        <v>0</v>
      </c>
      <c r="G656">
        <f>E14547+F14547</f>
        <v/>
      </c>
    </row>
    <row r="657">
      <c r="A657" t="inlineStr">
        <is>
          <t>36664661</t>
        </is>
      </c>
      <c r="B657" t="inlineStr">
        <is>
          <t>PRODUCTO 422168</t>
        </is>
      </c>
      <c r="C657" t="inlineStr">
        <is>
          <t>Miraflores</t>
        </is>
      </c>
      <c r="D657" t="inlineStr">
        <is>
          <t>30/08/2026</t>
        </is>
      </c>
      <c r="E657" t="n">
        <v>5</v>
      </c>
      <c r="F657" t="n">
        <v>0</v>
      </c>
      <c r="G657">
        <f>E14548+F14548</f>
        <v/>
      </c>
    </row>
    <row r="658">
      <c r="A658" t="inlineStr">
        <is>
          <t>36664661</t>
        </is>
      </c>
      <c r="B658" t="inlineStr">
        <is>
          <t>PRODUCTO 422168</t>
        </is>
      </c>
      <c r="C658" t="inlineStr">
        <is>
          <t>Piura</t>
        </is>
      </c>
      <c r="D658" t="inlineStr">
        <is>
          <t>30/08/2026</t>
        </is>
      </c>
      <c r="E658" t="n">
        <v>5</v>
      </c>
      <c r="F658" t="n">
        <v>0</v>
      </c>
      <c r="G658">
        <f>E14552+F14552</f>
        <v/>
      </c>
    </row>
    <row r="659">
      <c r="A659" t="inlineStr">
        <is>
          <t>36664679</t>
        </is>
      </c>
      <c r="B659" t="inlineStr">
        <is>
          <t>PRODUCTO 18B6CB</t>
        </is>
      </c>
      <c r="C659" t="inlineStr">
        <is>
          <t>Miraflores</t>
        </is>
      </c>
      <c r="D659" t="inlineStr">
        <is>
          <t>30/08/2026</t>
        </is>
      </c>
      <c r="E659" t="n">
        <v>3</v>
      </c>
      <c r="F659" t="n">
        <v>0</v>
      </c>
      <c r="G659">
        <f>E14563+F14563</f>
        <v/>
      </c>
    </row>
    <row r="660">
      <c r="A660" t="inlineStr">
        <is>
          <t>36664679</t>
        </is>
      </c>
      <c r="B660" t="inlineStr">
        <is>
          <t>PRODUCTO 18B6CB</t>
        </is>
      </c>
      <c r="C660" t="inlineStr">
        <is>
          <t>Salaverry</t>
        </is>
      </c>
      <c r="D660" t="inlineStr">
        <is>
          <t>30/08/2026</t>
        </is>
      </c>
      <c r="E660" t="n">
        <v>3</v>
      </c>
      <c r="F660" t="n">
        <v>0</v>
      </c>
      <c r="G660">
        <f>E14564+F14564</f>
        <v/>
      </c>
    </row>
    <row r="661">
      <c r="A661" t="inlineStr">
        <is>
          <t>36664679</t>
        </is>
      </c>
      <c r="B661" t="inlineStr">
        <is>
          <t>PRODUCTO 18B6CB</t>
        </is>
      </c>
      <c r="C661" t="inlineStr">
        <is>
          <t>Piura</t>
        </is>
      </c>
      <c r="D661" t="inlineStr">
        <is>
          <t>30/08/2026</t>
        </is>
      </c>
      <c r="E661" t="n">
        <v>6</v>
      </c>
      <c r="F661" t="n">
        <v>0</v>
      </c>
      <c r="G661">
        <f>E14565+F14565</f>
        <v/>
      </c>
    </row>
    <row r="662">
      <c r="A662" t="inlineStr">
        <is>
          <t>36664688</t>
        </is>
      </c>
      <c r="B662" t="inlineStr">
        <is>
          <t>PRODUCTO 0102BA</t>
        </is>
      </c>
      <c r="C662" t="inlineStr">
        <is>
          <t>Jockey Plaza</t>
        </is>
      </c>
      <c r="D662" t="inlineStr">
        <is>
          <t>30/08/2026</t>
        </is>
      </c>
      <c r="E662" t="n">
        <v>0</v>
      </c>
      <c r="F662" t="n">
        <v>0</v>
      </c>
      <c r="G662">
        <f>E14566+F14566</f>
        <v/>
      </c>
    </row>
    <row r="663">
      <c r="A663" t="inlineStr">
        <is>
          <t>36664688</t>
        </is>
      </c>
      <c r="B663" t="inlineStr">
        <is>
          <t>PRODUCTO 0102BA</t>
        </is>
      </c>
      <c r="C663" t="inlineStr">
        <is>
          <t>Miraflores</t>
        </is>
      </c>
      <c r="D663" t="inlineStr">
        <is>
          <t>30/08/2026</t>
        </is>
      </c>
      <c r="E663" t="n">
        <v>2</v>
      </c>
      <c r="F663" t="n">
        <v>0</v>
      </c>
      <c r="G663">
        <f>E14567+F14567</f>
        <v/>
      </c>
    </row>
    <row r="664">
      <c r="A664" t="inlineStr">
        <is>
          <t>36664688</t>
        </is>
      </c>
      <c r="B664" t="inlineStr">
        <is>
          <t>PRODUCTO 0102BA</t>
        </is>
      </c>
      <c r="C664" t="inlineStr">
        <is>
          <t>Salaverry</t>
        </is>
      </c>
      <c r="D664" t="inlineStr">
        <is>
          <t>30/08/2026</t>
        </is>
      </c>
      <c r="E664" t="n">
        <v>4</v>
      </c>
      <c r="F664" t="n">
        <v>0</v>
      </c>
      <c r="G664">
        <f>E14571+F14571</f>
        <v/>
      </c>
    </row>
    <row r="665">
      <c r="A665" t="inlineStr">
        <is>
          <t>36696455</t>
        </is>
      </c>
      <c r="B665" t="inlineStr">
        <is>
          <t>PRODUCTO DA7CFE</t>
        </is>
      </c>
      <c r="C665" t="inlineStr">
        <is>
          <t>Piura</t>
        </is>
      </c>
      <c r="D665" t="inlineStr">
        <is>
          <t>30/08/2026</t>
        </is>
      </c>
      <c r="E665" t="n">
        <v>5</v>
      </c>
      <c r="F665" t="n">
        <v>0</v>
      </c>
      <c r="G665">
        <f>E14638+F14638</f>
        <v/>
      </c>
    </row>
    <row r="666">
      <c r="A666" t="inlineStr">
        <is>
          <t>36742813</t>
        </is>
      </c>
      <c r="B666" t="inlineStr">
        <is>
          <t>PRODUCTO BC8053</t>
        </is>
      </c>
      <c r="C666" t="inlineStr">
        <is>
          <t>Miraflores</t>
        </is>
      </c>
      <c r="D666" t="inlineStr">
        <is>
          <t>30/08/2026</t>
        </is>
      </c>
      <c r="E666" t="n">
        <v>1</v>
      </c>
      <c r="F666" t="n">
        <v>0</v>
      </c>
      <c r="G666">
        <f>E14743+F14743</f>
        <v/>
      </c>
    </row>
    <row r="667">
      <c r="A667" t="inlineStr">
        <is>
          <t>36742813</t>
        </is>
      </c>
      <c r="B667" t="inlineStr">
        <is>
          <t>PRODUCTO BC8053</t>
        </is>
      </c>
      <c r="C667" t="inlineStr">
        <is>
          <t>Salaverry</t>
        </is>
      </c>
      <c r="D667" t="inlineStr">
        <is>
          <t>30/08/2026</t>
        </is>
      </c>
      <c r="E667" t="n">
        <v>-1</v>
      </c>
      <c r="F667" t="n">
        <v>0</v>
      </c>
      <c r="G667">
        <f>E14745+F14745</f>
        <v/>
      </c>
    </row>
    <row r="668">
      <c r="A668" t="inlineStr">
        <is>
          <t>36742813</t>
        </is>
      </c>
      <c r="B668" t="inlineStr">
        <is>
          <t>PRODUCTO BC8053</t>
        </is>
      </c>
      <c r="C668" t="inlineStr">
        <is>
          <t>Piura</t>
        </is>
      </c>
      <c r="D668" t="inlineStr">
        <is>
          <t>30/08/2026</t>
        </is>
      </c>
      <c r="E668" t="n">
        <v>2</v>
      </c>
      <c r="F668" t="n">
        <v>0</v>
      </c>
      <c r="G668">
        <f>E14746+F14746</f>
        <v/>
      </c>
    </row>
    <row r="669">
      <c r="A669" t="inlineStr">
        <is>
          <t>36742833</t>
        </is>
      </c>
      <c r="B669" t="inlineStr">
        <is>
          <t>PRODUCTO 7D7B5D</t>
        </is>
      </c>
      <c r="C669" t="inlineStr">
        <is>
          <t>Miraflores</t>
        </is>
      </c>
      <c r="D669" t="inlineStr">
        <is>
          <t>30/08/2026</t>
        </is>
      </c>
      <c r="E669" t="n">
        <v>4</v>
      </c>
      <c r="F669" t="n">
        <v>0</v>
      </c>
      <c r="G669">
        <f>E14761+F14761</f>
        <v/>
      </c>
    </row>
    <row r="670">
      <c r="A670" t="inlineStr">
        <is>
          <t>36742833</t>
        </is>
      </c>
      <c r="B670" t="inlineStr">
        <is>
          <t>PRODUCTO 7D7B5D</t>
        </is>
      </c>
      <c r="C670" t="inlineStr">
        <is>
          <t>Salaverry</t>
        </is>
      </c>
      <c r="D670" t="inlineStr">
        <is>
          <t>30/08/2026</t>
        </is>
      </c>
      <c r="E670" t="n">
        <v>3</v>
      </c>
      <c r="F670" t="n">
        <v>0</v>
      </c>
      <c r="G670">
        <f>E14763+F14763</f>
        <v/>
      </c>
    </row>
    <row r="671">
      <c r="A671" t="inlineStr">
        <is>
          <t>36836506</t>
        </is>
      </c>
      <c r="B671" t="inlineStr">
        <is>
          <t>PRODUCTO 8A1284</t>
        </is>
      </c>
      <c r="C671" t="inlineStr">
        <is>
          <t>Jockey Plaza</t>
        </is>
      </c>
      <c r="D671" t="inlineStr">
        <is>
          <t>30/08/2026</t>
        </is>
      </c>
      <c r="E671" t="n">
        <v>1</v>
      </c>
      <c r="F671" t="n">
        <v>0</v>
      </c>
      <c r="G671">
        <f>E14840+F14840</f>
        <v/>
      </c>
    </row>
    <row r="672">
      <c r="A672" t="inlineStr">
        <is>
          <t>36836506</t>
        </is>
      </c>
      <c r="B672" t="inlineStr">
        <is>
          <t>PRODUCTO 8A1284</t>
        </is>
      </c>
      <c r="C672" t="inlineStr">
        <is>
          <t>San Miguel</t>
        </is>
      </c>
      <c r="D672" t="inlineStr">
        <is>
          <t>30/08/2026</t>
        </is>
      </c>
      <c r="E672" t="n">
        <v>1</v>
      </c>
      <c r="F672" t="n">
        <v>0</v>
      </c>
      <c r="G672">
        <f>E14841+F14841</f>
        <v/>
      </c>
    </row>
    <row r="673">
      <c r="A673" t="inlineStr">
        <is>
          <t>36836506</t>
        </is>
      </c>
      <c r="B673" t="inlineStr">
        <is>
          <t>PRODUCTO 8A1284</t>
        </is>
      </c>
      <c r="C673" t="inlineStr">
        <is>
          <t>Miraflores</t>
        </is>
      </c>
      <c r="D673" t="inlineStr">
        <is>
          <t>30/08/2026</t>
        </is>
      </c>
      <c r="E673" t="n">
        <v>12</v>
      </c>
      <c r="F673" t="n">
        <v>0</v>
      </c>
      <c r="G673">
        <f>E14842+F14842</f>
        <v/>
      </c>
    </row>
    <row r="674">
      <c r="A674" t="inlineStr">
        <is>
          <t>36836506</t>
        </is>
      </c>
      <c r="B674" t="inlineStr">
        <is>
          <t>PRODUCTO 8A1284</t>
        </is>
      </c>
      <c r="C674" t="inlineStr">
        <is>
          <t>Salaverry</t>
        </is>
      </c>
      <c r="D674" t="inlineStr">
        <is>
          <t>30/08/2026</t>
        </is>
      </c>
      <c r="E674" t="n">
        <v>4</v>
      </c>
      <c r="F674" t="n">
        <v>0</v>
      </c>
      <c r="G674">
        <f>E14850+F14850</f>
        <v/>
      </c>
    </row>
    <row r="675">
      <c r="A675" t="inlineStr">
        <is>
          <t>36836506</t>
        </is>
      </c>
      <c r="B675" t="inlineStr">
        <is>
          <t>PRODUCTO 8A1284</t>
        </is>
      </c>
      <c r="C675" t="inlineStr">
        <is>
          <t>Piura</t>
        </is>
      </c>
      <c r="D675" t="inlineStr">
        <is>
          <t>30/08/2026</t>
        </is>
      </c>
      <c r="E675" t="n">
        <v>0</v>
      </c>
      <c r="F675" t="n">
        <v>1</v>
      </c>
      <c r="G675">
        <f>E14853+F14853</f>
        <v/>
      </c>
    </row>
    <row r="676">
      <c r="A676" t="inlineStr">
        <is>
          <t>36836523</t>
        </is>
      </c>
      <c r="B676" t="inlineStr">
        <is>
          <t>PRODUCTO EF4F86</t>
        </is>
      </c>
      <c r="C676" t="inlineStr">
        <is>
          <t>Jockey Plaza</t>
        </is>
      </c>
      <c r="D676" t="inlineStr">
        <is>
          <t>30/08/2026</t>
        </is>
      </c>
      <c r="E676" t="n">
        <v>10</v>
      </c>
      <c r="F676" t="n">
        <v>0</v>
      </c>
      <c r="G676">
        <f>E14857+F14857</f>
        <v/>
      </c>
    </row>
    <row r="677">
      <c r="A677" t="inlineStr">
        <is>
          <t>36836523</t>
        </is>
      </c>
      <c r="B677" t="inlineStr">
        <is>
          <t>PRODUCTO EF4F86</t>
        </is>
      </c>
      <c r="C677" t="inlineStr">
        <is>
          <t>San Miguel</t>
        </is>
      </c>
      <c r="D677" t="inlineStr">
        <is>
          <t>30/08/2026</t>
        </is>
      </c>
      <c r="E677" t="n">
        <v>9</v>
      </c>
      <c r="F677" t="n">
        <v>0</v>
      </c>
      <c r="G677">
        <f>E14858+F14858</f>
        <v/>
      </c>
    </row>
    <row r="678">
      <c r="A678" t="inlineStr">
        <is>
          <t>36836523</t>
        </is>
      </c>
      <c r="B678" t="inlineStr">
        <is>
          <t>PRODUCTO EF4F86</t>
        </is>
      </c>
      <c r="C678" t="inlineStr">
        <is>
          <t>Miraflores</t>
        </is>
      </c>
      <c r="D678" t="inlineStr">
        <is>
          <t>30/08/2026</t>
        </is>
      </c>
      <c r="E678" t="n">
        <v>18</v>
      </c>
      <c r="F678" t="n">
        <v>0</v>
      </c>
      <c r="G678">
        <f>E14859+F14859</f>
        <v/>
      </c>
    </row>
    <row r="679">
      <c r="A679" t="inlineStr">
        <is>
          <t>36836523</t>
        </is>
      </c>
      <c r="B679" t="inlineStr">
        <is>
          <t>PRODUCTO EF4F86</t>
        </is>
      </c>
      <c r="C679" t="inlineStr">
        <is>
          <t>Salaverry</t>
        </is>
      </c>
      <c r="D679" t="inlineStr">
        <is>
          <t>30/08/2026</t>
        </is>
      </c>
      <c r="E679" t="n">
        <v>1</v>
      </c>
      <c r="F679" t="n">
        <v>0</v>
      </c>
      <c r="G679">
        <f>E14866+F14866</f>
        <v/>
      </c>
    </row>
    <row r="680">
      <c r="A680" t="inlineStr">
        <is>
          <t>36836523</t>
        </is>
      </c>
      <c r="B680" t="inlineStr">
        <is>
          <t>PRODUCTO EF4F86</t>
        </is>
      </c>
      <c r="C680" t="inlineStr">
        <is>
          <t>San Borja</t>
        </is>
      </c>
      <c r="D680" t="inlineStr">
        <is>
          <t>30/08/2026</t>
        </is>
      </c>
      <c r="E680" t="n">
        <v>2</v>
      </c>
      <c r="F680" t="n">
        <v>0</v>
      </c>
      <c r="G680">
        <f>E14867+F14867</f>
        <v/>
      </c>
    </row>
    <row r="681">
      <c r="A681" t="inlineStr">
        <is>
          <t>36836523</t>
        </is>
      </c>
      <c r="B681" t="inlineStr">
        <is>
          <t>PRODUCTO EF4F86</t>
        </is>
      </c>
      <c r="C681" t="inlineStr">
        <is>
          <t>Piura</t>
        </is>
      </c>
      <c r="D681" t="inlineStr">
        <is>
          <t>30/08/2026</t>
        </is>
      </c>
      <c r="E681" t="n">
        <v>5</v>
      </c>
      <c r="F681" t="n">
        <v>0</v>
      </c>
      <c r="G681">
        <f>E14870+F14870</f>
        <v/>
      </c>
    </row>
    <row r="682">
      <c r="A682" t="inlineStr">
        <is>
          <t>36897685</t>
        </is>
      </c>
      <c r="B682" t="inlineStr">
        <is>
          <t>PRODUCTO D859F1</t>
        </is>
      </c>
      <c r="C682" t="inlineStr">
        <is>
          <t>Jockey Plaza</t>
        </is>
      </c>
      <c r="D682" t="inlineStr">
        <is>
          <t>30/08/2026</t>
        </is>
      </c>
      <c r="E682" t="n">
        <v>40</v>
      </c>
      <c r="F682" t="n">
        <v>0</v>
      </c>
      <c r="G682">
        <f>E14915+F14915</f>
        <v/>
      </c>
    </row>
    <row r="683">
      <c r="A683" t="inlineStr">
        <is>
          <t>36897685</t>
        </is>
      </c>
      <c r="B683" t="inlineStr">
        <is>
          <t>PRODUCTO D859F1</t>
        </is>
      </c>
      <c r="C683" t="inlineStr">
        <is>
          <t>Miraflores</t>
        </is>
      </c>
      <c r="D683" t="inlineStr">
        <is>
          <t>30/08/2026</t>
        </is>
      </c>
      <c r="E683" t="n">
        <v>32</v>
      </c>
      <c r="F683" t="n">
        <v>0</v>
      </c>
      <c r="G683">
        <f>E14916+F14916</f>
        <v/>
      </c>
    </row>
    <row r="684">
      <c r="A684" t="inlineStr">
        <is>
          <t>36897685</t>
        </is>
      </c>
      <c r="B684" t="inlineStr">
        <is>
          <t>PRODUCTO D859F1</t>
        </is>
      </c>
      <c r="C684" t="inlineStr">
        <is>
          <t>Salaverry</t>
        </is>
      </c>
      <c r="D684" t="inlineStr">
        <is>
          <t>30/08/2026</t>
        </is>
      </c>
      <c r="E684" t="n">
        <v>27</v>
      </c>
      <c r="F684" t="n">
        <v>0</v>
      </c>
      <c r="G684">
        <f>E14918+F14918</f>
        <v/>
      </c>
    </row>
    <row r="685">
      <c r="A685" t="inlineStr">
        <is>
          <t>36897685</t>
        </is>
      </c>
      <c r="B685" t="inlineStr">
        <is>
          <t>PRODUCTO D859F1</t>
        </is>
      </c>
      <c r="C685" t="inlineStr">
        <is>
          <t>Piura</t>
        </is>
      </c>
      <c r="D685" t="inlineStr">
        <is>
          <t>30/08/2026</t>
        </is>
      </c>
      <c r="E685" t="n">
        <v>30</v>
      </c>
      <c r="F685" t="n">
        <v>0</v>
      </c>
      <c r="G685">
        <f>E14919+F14919</f>
        <v/>
      </c>
    </row>
    <row r="686">
      <c r="A686" t="inlineStr">
        <is>
          <t>36897708</t>
        </is>
      </c>
      <c r="B686" t="inlineStr">
        <is>
          <t>PRODUCTO 141000</t>
        </is>
      </c>
      <c r="C686" t="inlineStr">
        <is>
          <t>Jockey Plaza</t>
        </is>
      </c>
      <c r="D686" t="inlineStr">
        <is>
          <t>30/08/2026</t>
        </is>
      </c>
      <c r="E686" t="n">
        <v>1</v>
      </c>
      <c r="F686" t="n">
        <v>0</v>
      </c>
      <c r="G686">
        <f>E14936+F14936</f>
        <v/>
      </c>
    </row>
    <row r="687">
      <c r="A687" t="inlineStr">
        <is>
          <t>36897708</t>
        </is>
      </c>
      <c r="B687" t="inlineStr">
        <is>
          <t>PRODUCTO 141000</t>
        </is>
      </c>
      <c r="C687" t="inlineStr">
        <is>
          <t>Miraflores</t>
        </is>
      </c>
      <c r="D687" t="inlineStr">
        <is>
          <t>30/08/2026</t>
        </is>
      </c>
      <c r="E687" t="n">
        <v>7</v>
      </c>
      <c r="F687" t="n">
        <v>0</v>
      </c>
      <c r="G687">
        <f>E14937+F14937</f>
        <v/>
      </c>
    </row>
    <row r="688">
      <c r="A688" t="inlineStr">
        <is>
          <t>36897708</t>
        </is>
      </c>
      <c r="B688" t="inlineStr">
        <is>
          <t>PRODUCTO 141000</t>
        </is>
      </c>
      <c r="C688" t="inlineStr">
        <is>
          <t>Salaverry</t>
        </is>
      </c>
      <c r="D688" t="inlineStr">
        <is>
          <t>30/08/2026</t>
        </is>
      </c>
      <c r="E688" t="n">
        <v>1</v>
      </c>
      <c r="F688" t="n">
        <v>0</v>
      </c>
      <c r="G688">
        <f>E14939+F14939</f>
        <v/>
      </c>
    </row>
    <row r="689">
      <c r="A689" t="inlineStr">
        <is>
          <t>36897708</t>
        </is>
      </c>
      <c r="B689" t="inlineStr">
        <is>
          <t>PRODUCTO 141000</t>
        </is>
      </c>
      <c r="C689" t="inlineStr">
        <is>
          <t>Piura</t>
        </is>
      </c>
      <c r="D689" t="inlineStr">
        <is>
          <t>30/08/2026</t>
        </is>
      </c>
      <c r="E689" t="n">
        <v>3</v>
      </c>
      <c r="F689" t="n">
        <v>0</v>
      </c>
      <c r="G689">
        <f>E14940+F14940</f>
        <v/>
      </c>
    </row>
    <row r="690">
      <c r="A690" t="inlineStr">
        <is>
          <t>36897733</t>
        </is>
      </c>
      <c r="B690" t="inlineStr">
        <is>
          <t>PRODUCTO 76B1D5</t>
        </is>
      </c>
      <c r="C690" t="inlineStr">
        <is>
          <t>Jockey Plaza</t>
        </is>
      </c>
      <c r="D690" t="inlineStr">
        <is>
          <t>30/08/2026</t>
        </is>
      </c>
      <c r="E690" t="n">
        <v>14</v>
      </c>
      <c r="F690" t="n">
        <v>0</v>
      </c>
      <c r="G690">
        <f>E14954+F14954</f>
        <v/>
      </c>
    </row>
    <row r="691">
      <c r="A691" t="inlineStr">
        <is>
          <t>36897733</t>
        </is>
      </c>
      <c r="B691" t="inlineStr">
        <is>
          <t>PRODUCTO 76B1D5</t>
        </is>
      </c>
      <c r="C691" t="inlineStr">
        <is>
          <t>Miraflores</t>
        </is>
      </c>
      <c r="D691" t="inlineStr">
        <is>
          <t>30/08/2026</t>
        </is>
      </c>
      <c r="E691" t="n">
        <v>15</v>
      </c>
      <c r="F691" t="n">
        <v>0</v>
      </c>
      <c r="G691">
        <f>E14955+F14955</f>
        <v/>
      </c>
    </row>
    <row r="692">
      <c r="A692" t="inlineStr">
        <is>
          <t>36897733</t>
        </is>
      </c>
      <c r="B692" t="inlineStr">
        <is>
          <t>PRODUCTO 76B1D5</t>
        </is>
      </c>
      <c r="C692" t="inlineStr">
        <is>
          <t>Salaverry</t>
        </is>
      </c>
      <c r="D692" t="inlineStr">
        <is>
          <t>30/08/2026</t>
        </is>
      </c>
      <c r="E692" t="n">
        <v>16</v>
      </c>
      <c r="F692" t="n">
        <v>0</v>
      </c>
      <c r="G692">
        <f>E14957+F14957</f>
        <v/>
      </c>
    </row>
    <row r="693">
      <c r="A693" t="inlineStr">
        <is>
          <t>36897773</t>
        </is>
      </c>
      <c r="B693" t="inlineStr">
        <is>
          <t>PRODUCTO 40629A</t>
        </is>
      </c>
      <c r="C693" t="inlineStr">
        <is>
          <t>Jockey Plaza</t>
        </is>
      </c>
      <c r="D693" t="inlineStr">
        <is>
          <t>30/08/2026</t>
        </is>
      </c>
      <c r="E693" t="n">
        <v>2</v>
      </c>
      <c r="F693" t="n">
        <v>0</v>
      </c>
      <c r="G693">
        <f>E15001+F15001</f>
        <v/>
      </c>
    </row>
    <row r="694">
      <c r="A694" t="inlineStr">
        <is>
          <t>36897773</t>
        </is>
      </c>
      <c r="B694" t="inlineStr">
        <is>
          <t>PRODUCTO 40629A</t>
        </is>
      </c>
      <c r="C694" t="inlineStr">
        <is>
          <t>Miraflores</t>
        </is>
      </c>
      <c r="D694" t="inlineStr">
        <is>
          <t>30/08/2026</t>
        </is>
      </c>
      <c r="E694" t="n">
        <v>6</v>
      </c>
      <c r="F694" t="n">
        <v>0</v>
      </c>
      <c r="G694">
        <f>E15002+F15002</f>
        <v/>
      </c>
    </row>
    <row r="695">
      <c r="A695" t="inlineStr">
        <is>
          <t>36897773</t>
        </is>
      </c>
      <c r="B695" t="inlineStr">
        <is>
          <t>PRODUCTO 40629A</t>
        </is>
      </c>
      <c r="C695" t="inlineStr">
        <is>
          <t>Piura</t>
        </is>
      </c>
      <c r="D695" t="inlineStr">
        <is>
          <t>30/08/2026</t>
        </is>
      </c>
      <c r="E695" t="n">
        <v>7</v>
      </c>
      <c r="F695" t="n">
        <v>0</v>
      </c>
      <c r="G695">
        <f>E15004+F15004</f>
        <v/>
      </c>
    </row>
    <row r="696">
      <c r="A696" t="inlineStr">
        <is>
          <t>36897783</t>
        </is>
      </c>
      <c r="B696" t="inlineStr">
        <is>
          <t>PRODUCTO BDC9FF</t>
        </is>
      </c>
      <c r="C696" t="inlineStr">
        <is>
          <t>Jockey Plaza</t>
        </is>
      </c>
      <c r="D696" t="inlineStr">
        <is>
          <t>30/08/2026</t>
        </is>
      </c>
      <c r="E696" t="n">
        <v>2</v>
      </c>
      <c r="F696" t="n">
        <v>0</v>
      </c>
      <c r="G696">
        <f>E15012+F15012</f>
        <v/>
      </c>
    </row>
    <row r="697">
      <c r="A697" t="inlineStr">
        <is>
          <t>36897783</t>
        </is>
      </c>
      <c r="B697" t="inlineStr">
        <is>
          <t>PRODUCTO BDC9FF</t>
        </is>
      </c>
      <c r="C697" t="inlineStr">
        <is>
          <t>Miraflores</t>
        </is>
      </c>
      <c r="D697" t="inlineStr">
        <is>
          <t>30/08/2026</t>
        </is>
      </c>
      <c r="E697" t="n">
        <v>2</v>
      </c>
      <c r="F697" t="n">
        <v>0</v>
      </c>
      <c r="G697">
        <f>E15013+F15013</f>
        <v/>
      </c>
    </row>
    <row r="698">
      <c r="A698" t="inlineStr">
        <is>
          <t>36897783</t>
        </is>
      </c>
      <c r="B698" t="inlineStr">
        <is>
          <t>PRODUCTO BDC9FF</t>
        </is>
      </c>
      <c r="C698" t="inlineStr">
        <is>
          <t>Salaverry</t>
        </is>
      </c>
      <c r="D698" t="inlineStr">
        <is>
          <t>30/08/2026</t>
        </is>
      </c>
      <c r="E698" t="n">
        <v>1</v>
      </c>
      <c r="F698" t="n">
        <v>0</v>
      </c>
      <c r="G698">
        <f>E15014+F15014</f>
        <v/>
      </c>
    </row>
    <row r="699">
      <c r="A699" t="inlineStr">
        <is>
          <t>36897783</t>
        </is>
      </c>
      <c r="B699" t="inlineStr">
        <is>
          <t>PRODUCTO BDC9FF</t>
        </is>
      </c>
      <c r="C699" t="inlineStr">
        <is>
          <t>Piura</t>
        </is>
      </c>
      <c r="D699" t="inlineStr">
        <is>
          <t>30/08/2026</t>
        </is>
      </c>
      <c r="E699" t="n">
        <v>1</v>
      </c>
      <c r="F699" t="n">
        <v>0</v>
      </c>
      <c r="G699">
        <f>E15016+F15016</f>
        <v/>
      </c>
    </row>
    <row r="700">
      <c r="A700" t="inlineStr">
        <is>
          <t>36897875</t>
        </is>
      </c>
      <c r="B700" t="inlineStr">
        <is>
          <t>PRODUCTO A8E300</t>
        </is>
      </c>
      <c r="C700" t="inlineStr">
        <is>
          <t>Jockey Plaza</t>
        </is>
      </c>
      <c r="D700" t="inlineStr">
        <is>
          <t>30/08/2026</t>
        </is>
      </c>
      <c r="E700" t="n">
        <v>8</v>
      </c>
      <c r="F700" t="n">
        <v>0</v>
      </c>
      <c r="G700">
        <f>E15088+F15088</f>
        <v/>
      </c>
    </row>
    <row r="701">
      <c r="A701" t="inlineStr">
        <is>
          <t>36897875</t>
        </is>
      </c>
      <c r="B701" t="inlineStr">
        <is>
          <t>PRODUCTO A8E300</t>
        </is>
      </c>
      <c r="C701" t="inlineStr">
        <is>
          <t>Miraflores</t>
        </is>
      </c>
      <c r="D701" t="inlineStr">
        <is>
          <t>30/08/2026</t>
        </is>
      </c>
      <c r="E701" t="n">
        <v>5</v>
      </c>
      <c r="F701" t="n">
        <v>0</v>
      </c>
      <c r="G701">
        <f>E15089+F15089</f>
        <v/>
      </c>
    </row>
    <row r="702">
      <c r="A702" t="inlineStr">
        <is>
          <t>36897875</t>
        </is>
      </c>
      <c r="B702" t="inlineStr">
        <is>
          <t>PRODUCTO A8E300</t>
        </is>
      </c>
      <c r="C702" t="inlineStr">
        <is>
          <t>Salaverry</t>
        </is>
      </c>
      <c r="D702" t="inlineStr">
        <is>
          <t>30/08/2026</t>
        </is>
      </c>
      <c r="E702" t="n">
        <v>7</v>
      </c>
      <c r="F702" t="n">
        <v>0</v>
      </c>
      <c r="G702">
        <f>E15091+F15091</f>
        <v/>
      </c>
    </row>
    <row r="703">
      <c r="A703" t="inlineStr">
        <is>
          <t>36904295</t>
        </is>
      </c>
      <c r="B703" t="inlineStr">
        <is>
          <t>PRODUCTO 2153C7</t>
        </is>
      </c>
      <c r="C703" t="inlineStr">
        <is>
          <t>Jockey Plaza</t>
        </is>
      </c>
      <c r="D703" t="inlineStr">
        <is>
          <t>30/08/2026</t>
        </is>
      </c>
      <c r="E703" t="n">
        <v>24</v>
      </c>
      <c r="F703" t="n">
        <v>12</v>
      </c>
      <c r="G703">
        <f>E15195+F15195</f>
        <v/>
      </c>
    </row>
    <row r="704">
      <c r="A704" t="inlineStr">
        <is>
          <t>36904295</t>
        </is>
      </c>
      <c r="B704" t="inlineStr">
        <is>
          <t>PRODUCTO 2153C7</t>
        </is>
      </c>
      <c r="C704" t="inlineStr">
        <is>
          <t>San Miguel</t>
        </is>
      </c>
      <c r="D704" t="inlineStr">
        <is>
          <t>30/08/2026</t>
        </is>
      </c>
      <c r="E704" t="n">
        <v>24</v>
      </c>
      <c r="F704" t="n">
        <v>12</v>
      </c>
      <c r="G704">
        <f>E15196+F15196</f>
        <v/>
      </c>
    </row>
    <row r="705">
      <c r="A705" t="inlineStr">
        <is>
          <t>36904295</t>
        </is>
      </c>
      <c r="B705" t="inlineStr">
        <is>
          <t>PRODUCTO 2153C7</t>
        </is>
      </c>
      <c r="C705" t="inlineStr">
        <is>
          <t>Miraflores</t>
        </is>
      </c>
      <c r="D705" t="inlineStr">
        <is>
          <t>30/08/2026</t>
        </is>
      </c>
      <c r="E705" t="n">
        <v>8</v>
      </c>
      <c r="F705" t="n">
        <v>4</v>
      </c>
      <c r="G705">
        <f>E15197+F15197</f>
        <v/>
      </c>
    </row>
    <row r="706">
      <c r="A706" t="inlineStr">
        <is>
          <t>36904295</t>
        </is>
      </c>
      <c r="B706" t="inlineStr">
        <is>
          <t>PRODUCTO 2153C7</t>
        </is>
      </c>
      <c r="C706" t="inlineStr">
        <is>
          <t>San Borja</t>
        </is>
      </c>
      <c r="D706" t="inlineStr">
        <is>
          <t>30/08/2026</t>
        </is>
      </c>
      <c r="E706" t="n">
        <v>0</v>
      </c>
      <c r="F706" t="n">
        <v>12</v>
      </c>
      <c r="G706">
        <f>E15204+F15204</f>
        <v/>
      </c>
    </row>
    <row r="707">
      <c r="A707" t="inlineStr">
        <is>
          <t>36904295</t>
        </is>
      </c>
      <c r="B707" t="inlineStr">
        <is>
          <t>PRODUCTO 2153C7</t>
        </is>
      </c>
      <c r="C707" t="inlineStr">
        <is>
          <t>Piura</t>
        </is>
      </c>
      <c r="D707" t="inlineStr">
        <is>
          <t>30/08/2026</t>
        </is>
      </c>
      <c r="E707" t="n">
        <v>0</v>
      </c>
      <c r="F707" t="n">
        <v>36</v>
      </c>
      <c r="G707">
        <f>E15207+F15207</f>
        <v/>
      </c>
    </row>
    <row r="708">
      <c r="A708" t="inlineStr">
        <is>
          <t>36904685</t>
        </is>
      </c>
      <c r="B708" t="inlineStr">
        <is>
          <t>PRODUCTO D607EF</t>
        </is>
      </c>
      <c r="C708" t="inlineStr">
        <is>
          <t>Jockey Plaza</t>
        </is>
      </c>
      <c r="D708" t="inlineStr">
        <is>
          <t>30/08/2026</t>
        </is>
      </c>
      <c r="E708" t="n">
        <v>53</v>
      </c>
      <c r="F708" t="n">
        <v>0</v>
      </c>
      <c r="G708">
        <f>E15211+F15211</f>
        <v/>
      </c>
    </row>
    <row r="709">
      <c r="A709" t="inlineStr">
        <is>
          <t>36904685</t>
        </is>
      </c>
      <c r="B709" t="inlineStr">
        <is>
          <t>PRODUCTO D607EF</t>
        </is>
      </c>
      <c r="C709" t="inlineStr">
        <is>
          <t>San Miguel</t>
        </is>
      </c>
      <c r="D709" t="inlineStr">
        <is>
          <t>30/08/2026</t>
        </is>
      </c>
      <c r="E709" t="n">
        <v>53</v>
      </c>
      <c r="F709" t="n">
        <v>0</v>
      </c>
      <c r="G709">
        <f>E15212+F15212</f>
        <v/>
      </c>
    </row>
    <row r="710">
      <c r="A710" t="inlineStr">
        <is>
          <t>36904685</t>
        </is>
      </c>
      <c r="B710" t="inlineStr">
        <is>
          <t>PRODUCTO D607EF</t>
        </is>
      </c>
      <c r="C710" t="inlineStr">
        <is>
          <t>Miraflores</t>
        </is>
      </c>
      <c r="D710" t="inlineStr">
        <is>
          <t>30/08/2026</t>
        </is>
      </c>
      <c r="E710" t="n">
        <v>32</v>
      </c>
      <c r="F710" t="n">
        <v>2</v>
      </c>
      <c r="G710">
        <f>E15213+F15213</f>
        <v/>
      </c>
    </row>
    <row r="711">
      <c r="A711" t="inlineStr">
        <is>
          <t>36904685</t>
        </is>
      </c>
      <c r="B711" t="inlineStr">
        <is>
          <t>PRODUCTO D607EF</t>
        </is>
      </c>
      <c r="C711" t="inlineStr">
        <is>
          <t>San Borja</t>
        </is>
      </c>
      <c r="D711" t="inlineStr">
        <is>
          <t>30/08/2026</t>
        </is>
      </c>
      <c r="E711" t="n">
        <v>31</v>
      </c>
      <c r="F711" t="n">
        <v>4</v>
      </c>
      <c r="G711">
        <f>E15220+F15220</f>
        <v/>
      </c>
    </row>
    <row r="712">
      <c r="A712" t="inlineStr">
        <is>
          <t>36904685</t>
        </is>
      </c>
      <c r="B712" t="inlineStr">
        <is>
          <t>PRODUCTO D607EF</t>
        </is>
      </c>
      <c r="C712" t="inlineStr">
        <is>
          <t>Piura</t>
        </is>
      </c>
      <c r="D712" t="inlineStr">
        <is>
          <t>30/08/2026</t>
        </is>
      </c>
      <c r="E712" t="n">
        <v>30</v>
      </c>
      <c r="F712" t="n">
        <v>4</v>
      </c>
      <c r="G712">
        <f>E15223+F15223</f>
        <v/>
      </c>
    </row>
    <row r="713">
      <c r="A713" t="inlineStr">
        <is>
          <t>36933597</t>
        </is>
      </c>
      <c r="B713" t="inlineStr">
        <is>
          <t>PRODUCTO 09C2CB</t>
        </is>
      </c>
      <c r="C713" t="inlineStr">
        <is>
          <t>Jockey Plaza</t>
        </is>
      </c>
      <c r="D713" t="inlineStr">
        <is>
          <t>30/08/2026</t>
        </is>
      </c>
      <c r="E713" t="n">
        <v>10</v>
      </c>
      <c r="F713" t="n">
        <v>0</v>
      </c>
      <c r="G713">
        <f>E15342+F15342</f>
        <v/>
      </c>
    </row>
    <row r="714">
      <c r="A714" t="inlineStr">
        <is>
          <t>36933597</t>
        </is>
      </c>
      <c r="B714" t="inlineStr">
        <is>
          <t>PRODUCTO 09C2CB</t>
        </is>
      </c>
      <c r="C714" t="inlineStr">
        <is>
          <t>San Miguel</t>
        </is>
      </c>
      <c r="D714" t="inlineStr">
        <is>
          <t>30/08/2026</t>
        </is>
      </c>
      <c r="E714" t="n">
        <v>10</v>
      </c>
      <c r="F714" t="n">
        <v>0</v>
      </c>
      <c r="G714">
        <f>E15343+F15343</f>
        <v/>
      </c>
    </row>
    <row r="715">
      <c r="A715" t="inlineStr">
        <is>
          <t>36933597</t>
        </is>
      </c>
      <c r="B715" t="inlineStr">
        <is>
          <t>PRODUCTO 09C2CB</t>
        </is>
      </c>
      <c r="C715" t="inlineStr">
        <is>
          <t>Miraflores</t>
        </is>
      </c>
      <c r="D715" t="inlineStr">
        <is>
          <t>30/08/2026</t>
        </is>
      </c>
      <c r="E715" t="n">
        <v>9</v>
      </c>
      <c r="F715" t="n">
        <v>0</v>
      </c>
      <c r="G715">
        <f>E15344+F15344</f>
        <v/>
      </c>
    </row>
    <row r="716">
      <c r="A716" t="inlineStr">
        <is>
          <t>36933597</t>
        </is>
      </c>
      <c r="B716" t="inlineStr">
        <is>
          <t>PRODUCTO 09C2CB</t>
        </is>
      </c>
      <c r="C716" t="inlineStr">
        <is>
          <t>Salaverry</t>
        </is>
      </c>
      <c r="D716" t="inlineStr">
        <is>
          <t>30/08/2026</t>
        </is>
      </c>
      <c r="E716" t="n">
        <v>8</v>
      </c>
      <c r="F716" t="n">
        <v>0</v>
      </c>
      <c r="G716">
        <f>E15348+F15348</f>
        <v/>
      </c>
    </row>
    <row r="717">
      <c r="A717" t="inlineStr">
        <is>
          <t>36933597</t>
        </is>
      </c>
      <c r="B717" t="inlineStr">
        <is>
          <t>PRODUCTO 09C2CB</t>
        </is>
      </c>
      <c r="C717" t="inlineStr">
        <is>
          <t>San Borja</t>
        </is>
      </c>
      <c r="D717" t="inlineStr">
        <is>
          <t>30/08/2026</t>
        </is>
      </c>
      <c r="E717" t="n">
        <v>4</v>
      </c>
      <c r="F717" t="n">
        <v>0</v>
      </c>
      <c r="G717">
        <f>E15349+F15349</f>
        <v/>
      </c>
    </row>
    <row r="718">
      <c r="A718" t="inlineStr">
        <is>
          <t>36933602</t>
        </is>
      </c>
      <c r="B718" t="inlineStr">
        <is>
          <t>PRODUCTO 287BBB</t>
        </is>
      </c>
      <c r="C718" t="inlineStr">
        <is>
          <t>Jockey Plaza</t>
        </is>
      </c>
      <c r="D718" t="inlineStr">
        <is>
          <t>30/08/2026</t>
        </is>
      </c>
      <c r="E718" t="n">
        <v>26</v>
      </c>
      <c r="F718" t="n">
        <v>0</v>
      </c>
      <c r="G718">
        <f>E15355+F15355</f>
        <v/>
      </c>
    </row>
    <row r="719">
      <c r="A719" t="inlineStr">
        <is>
          <t>36933602</t>
        </is>
      </c>
      <c r="B719" t="inlineStr">
        <is>
          <t>PRODUCTO 287BBB</t>
        </is>
      </c>
      <c r="C719" t="inlineStr">
        <is>
          <t>San Miguel</t>
        </is>
      </c>
      <c r="D719" t="inlineStr">
        <is>
          <t>30/08/2026</t>
        </is>
      </c>
      <c r="E719" t="n">
        <v>10</v>
      </c>
      <c r="F719" t="n">
        <v>0</v>
      </c>
      <c r="G719">
        <f>E15356+F15356</f>
        <v/>
      </c>
    </row>
    <row r="720">
      <c r="A720" t="inlineStr">
        <is>
          <t>36933602</t>
        </is>
      </c>
      <c r="B720" t="inlineStr">
        <is>
          <t>PRODUCTO 287BBB</t>
        </is>
      </c>
      <c r="C720" t="inlineStr">
        <is>
          <t>Miraflores</t>
        </is>
      </c>
      <c r="D720" t="inlineStr">
        <is>
          <t>30/08/2026</t>
        </is>
      </c>
      <c r="E720" t="n">
        <v>11</v>
      </c>
      <c r="F720" t="n">
        <v>0</v>
      </c>
      <c r="G720">
        <f>E15357+F15357</f>
        <v/>
      </c>
    </row>
    <row r="721">
      <c r="A721" t="inlineStr">
        <is>
          <t>36933602</t>
        </is>
      </c>
      <c r="B721" t="inlineStr">
        <is>
          <t>PRODUCTO 287BBB</t>
        </is>
      </c>
      <c r="C721" t="inlineStr">
        <is>
          <t>Salaverry</t>
        </is>
      </c>
      <c r="D721" t="inlineStr">
        <is>
          <t>30/08/2026</t>
        </is>
      </c>
      <c r="E721" t="n">
        <v>13</v>
      </c>
      <c r="F721" t="n">
        <v>0</v>
      </c>
      <c r="G721">
        <f>E15361+F15361</f>
        <v/>
      </c>
    </row>
    <row r="722">
      <c r="A722" t="inlineStr">
        <is>
          <t>36933602</t>
        </is>
      </c>
      <c r="B722" t="inlineStr">
        <is>
          <t>PRODUCTO 287BBB</t>
        </is>
      </c>
      <c r="C722" t="inlineStr">
        <is>
          <t>San Borja</t>
        </is>
      </c>
      <c r="D722" t="inlineStr">
        <is>
          <t>30/08/2026</t>
        </is>
      </c>
      <c r="E722" t="n">
        <v>7</v>
      </c>
      <c r="F722" t="n">
        <v>0</v>
      </c>
      <c r="G722">
        <f>E15362+F15362</f>
        <v/>
      </c>
    </row>
    <row r="723">
      <c r="A723" t="inlineStr">
        <is>
          <t>36933602</t>
        </is>
      </c>
      <c r="B723" t="inlineStr">
        <is>
          <t>PRODUCTO 287BBB</t>
        </is>
      </c>
      <c r="C723" t="inlineStr">
        <is>
          <t>Piura</t>
        </is>
      </c>
      <c r="D723" t="inlineStr">
        <is>
          <t>30/08/2026</t>
        </is>
      </c>
      <c r="E723" t="n">
        <v>10</v>
      </c>
      <c r="F723" t="n">
        <v>0</v>
      </c>
      <c r="G723">
        <f>E15364+F15364</f>
        <v/>
      </c>
    </row>
    <row r="724">
      <c r="A724" t="inlineStr">
        <is>
          <t>36933635</t>
        </is>
      </c>
      <c r="B724" t="inlineStr">
        <is>
          <t>PRODUCTO 59F781</t>
        </is>
      </c>
      <c r="C724" t="inlineStr">
        <is>
          <t>Jockey Plaza</t>
        </is>
      </c>
      <c r="D724" t="inlineStr">
        <is>
          <t>30/08/2026</t>
        </is>
      </c>
      <c r="E724" t="n">
        <v>7</v>
      </c>
      <c r="F724" t="n">
        <v>0</v>
      </c>
      <c r="G724">
        <f>E15411+F15411</f>
        <v/>
      </c>
    </row>
    <row r="725">
      <c r="A725" t="inlineStr">
        <is>
          <t>36933635</t>
        </is>
      </c>
      <c r="B725" t="inlineStr">
        <is>
          <t>PRODUCTO 59F781</t>
        </is>
      </c>
      <c r="C725" t="inlineStr">
        <is>
          <t>San Miguel</t>
        </is>
      </c>
      <c r="D725" t="inlineStr">
        <is>
          <t>30/08/2026</t>
        </is>
      </c>
      <c r="E725" t="n">
        <v>8</v>
      </c>
      <c r="F725" t="n">
        <v>0</v>
      </c>
      <c r="G725">
        <f>E15412+F15412</f>
        <v/>
      </c>
    </row>
    <row r="726">
      <c r="A726" t="inlineStr">
        <is>
          <t>36933635</t>
        </is>
      </c>
      <c r="B726" t="inlineStr">
        <is>
          <t>PRODUCTO 59F781</t>
        </is>
      </c>
      <c r="C726" t="inlineStr">
        <is>
          <t>Miraflores</t>
        </is>
      </c>
      <c r="D726" t="inlineStr">
        <is>
          <t>30/08/2026</t>
        </is>
      </c>
      <c r="E726" t="n">
        <v>7</v>
      </c>
      <c r="F726" t="n">
        <v>0</v>
      </c>
      <c r="G726">
        <f>E15413+F15413</f>
        <v/>
      </c>
    </row>
    <row r="727">
      <c r="A727" t="inlineStr">
        <is>
          <t>36933635</t>
        </is>
      </c>
      <c r="B727" t="inlineStr">
        <is>
          <t>PRODUCTO 59F781</t>
        </is>
      </c>
      <c r="C727" t="inlineStr">
        <is>
          <t>Salaverry</t>
        </is>
      </c>
      <c r="D727" t="inlineStr">
        <is>
          <t>30/08/2026</t>
        </is>
      </c>
      <c r="E727" t="n">
        <v>9</v>
      </c>
      <c r="F727" t="n">
        <v>0</v>
      </c>
      <c r="G727">
        <f>E15417+F15417</f>
        <v/>
      </c>
    </row>
    <row r="728">
      <c r="A728" t="inlineStr">
        <is>
          <t>36933635</t>
        </is>
      </c>
      <c r="B728" t="inlineStr">
        <is>
          <t>PRODUCTO 59F781</t>
        </is>
      </c>
      <c r="C728" t="inlineStr">
        <is>
          <t>San Borja</t>
        </is>
      </c>
      <c r="D728" t="inlineStr">
        <is>
          <t>30/08/2026</t>
        </is>
      </c>
      <c r="E728" t="n">
        <v>8</v>
      </c>
      <c r="F728" t="n">
        <v>0</v>
      </c>
      <c r="G728">
        <f>E15418+F15418</f>
        <v/>
      </c>
    </row>
    <row r="729">
      <c r="A729" t="inlineStr">
        <is>
          <t>36933635</t>
        </is>
      </c>
      <c r="B729" t="inlineStr">
        <is>
          <t>PRODUCTO 59F781</t>
        </is>
      </c>
      <c r="C729" t="inlineStr">
        <is>
          <t>Piura</t>
        </is>
      </c>
      <c r="D729" t="inlineStr">
        <is>
          <t>30/08/2026</t>
        </is>
      </c>
      <c r="E729" t="n">
        <v>11</v>
      </c>
      <c r="F729" t="n">
        <v>0</v>
      </c>
      <c r="G729">
        <f>E15420+F15420</f>
        <v/>
      </c>
    </row>
    <row r="730">
      <c r="A730" t="inlineStr">
        <is>
          <t>36994505</t>
        </is>
      </c>
      <c r="B730" t="inlineStr">
        <is>
          <t>PRODUCTO FCA05C</t>
        </is>
      </c>
      <c r="C730" t="inlineStr">
        <is>
          <t>Jockey Plaza</t>
        </is>
      </c>
      <c r="D730" t="inlineStr">
        <is>
          <t>30/08/2026</t>
        </is>
      </c>
      <c r="E730" t="n">
        <v>40</v>
      </c>
      <c r="F730" t="n">
        <v>3</v>
      </c>
      <c r="G730">
        <f>E15616+F15616</f>
        <v/>
      </c>
    </row>
    <row r="731">
      <c r="A731" t="inlineStr">
        <is>
          <t>36994505</t>
        </is>
      </c>
      <c r="B731" t="inlineStr">
        <is>
          <t>PRODUCTO FCA05C</t>
        </is>
      </c>
      <c r="C731" t="inlineStr">
        <is>
          <t>San Miguel</t>
        </is>
      </c>
      <c r="D731" t="inlineStr">
        <is>
          <t>30/08/2026</t>
        </is>
      </c>
      <c r="E731" t="n">
        <v>42</v>
      </c>
      <c r="F731" t="n">
        <v>0</v>
      </c>
      <c r="G731">
        <f>E15617+F15617</f>
        <v/>
      </c>
    </row>
    <row r="732">
      <c r="A732" t="inlineStr">
        <is>
          <t>36994505</t>
        </is>
      </c>
      <c r="B732" t="inlineStr">
        <is>
          <t>PRODUCTO FCA05C</t>
        </is>
      </c>
      <c r="C732" t="inlineStr">
        <is>
          <t>Miraflores</t>
        </is>
      </c>
      <c r="D732" t="inlineStr">
        <is>
          <t>30/08/2026</t>
        </is>
      </c>
      <c r="E732" t="n">
        <v>51</v>
      </c>
      <c r="F732" t="n">
        <v>0</v>
      </c>
      <c r="G732">
        <f>E15618+F15618</f>
        <v/>
      </c>
    </row>
    <row r="733">
      <c r="A733" t="inlineStr">
        <is>
          <t>36994505</t>
        </is>
      </c>
      <c r="B733" t="inlineStr">
        <is>
          <t>PRODUCTO FCA05C</t>
        </is>
      </c>
      <c r="C733" t="inlineStr">
        <is>
          <t>Salaverry</t>
        </is>
      </c>
      <c r="D733" t="inlineStr">
        <is>
          <t>30/08/2026</t>
        </is>
      </c>
      <c r="E733" t="n">
        <v>45</v>
      </c>
      <c r="F733" t="n">
        <v>0</v>
      </c>
      <c r="G733">
        <f>E15621+F15621</f>
        <v/>
      </c>
    </row>
    <row r="734">
      <c r="A734" t="inlineStr">
        <is>
          <t>36994505</t>
        </is>
      </c>
      <c r="B734" t="inlineStr">
        <is>
          <t>PRODUCTO FCA05C</t>
        </is>
      </c>
      <c r="C734" t="inlineStr">
        <is>
          <t>San Borja</t>
        </is>
      </c>
      <c r="D734" t="inlineStr">
        <is>
          <t>30/08/2026</t>
        </is>
      </c>
      <c r="E734" t="n">
        <v>45</v>
      </c>
      <c r="F734" t="n">
        <v>0</v>
      </c>
      <c r="G734">
        <f>E15622+F15622</f>
        <v/>
      </c>
    </row>
    <row r="735">
      <c r="A735" t="inlineStr">
        <is>
          <t>36994505</t>
        </is>
      </c>
      <c r="B735" t="inlineStr">
        <is>
          <t>PRODUCTO FCA05C</t>
        </is>
      </c>
      <c r="C735" t="inlineStr">
        <is>
          <t>Piura</t>
        </is>
      </c>
      <c r="D735" t="inlineStr">
        <is>
          <t>30/08/2026</t>
        </is>
      </c>
      <c r="E735" t="n">
        <v>76</v>
      </c>
      <c r="F735" t="n">
        <v>0</v>
      </c>
      <c r="G735">
        <f>E15624+F15624</f>
        <v/>
      </c>
    </row>
    <row r="736">
      <c r="A736" t="inlineStr">
        <is>
          <t>37011331</t>
        </is>
      </c>
      <c r="B736" t="inlineStr">
        <is>
          <t>PRODUCTO E4B202</t>
        </is>
      </c>
      <c r="C736" t="inlineStr">
        <is>
          <t>Jockey Plaza</t>
        </is>
      </c>
      <c r="D736" t="inlineStr">
        <is>
          <t>30/08/2026</t>
        </is>
      </c>
      <c r="E736" t="n">
        <v>17</v>
      </c>
      <c r="F736" t="n">
        <v>0</v>
      </c>
      <c r="G736">
        <f>E15722+F15722</f>
        <v/>
      </c>
    </row>
    <row r="737">
      <c r="A737" t="inlineStr">
        <is>
          <t>37011331</t>
        </is>
      </c>
      <c r="B737" t="inlineStr">
        <is>
          <t>PRODUCTO E4B202</t>
        </is>
      </c>
      <c r="C737" t="inlineStr">
        <is>
          <t>San Miguel</t>
        </is>
      </c>
      <c r="D737" t="inlineStr">
        <is>
          <t>30/08/2026</t>
        </is>
      </c>
      <c r="E737" t="n">
        <v>12</v>
      </c>
      <c r="F737" t="n">
        <v>0</v>
      </c>
      <c r="G737">
        <f>E15723+F15723</f>
        <v/>
      </c>
    </row>
    <row r="738">
      <c r="A738" t="inlineStr">
        <is>
          <t>37011331</t>
        </is>
      </c>
      <c r="B738" t="inlineStr">
        <is>
          <t>PRODUCTO E4B202</t>
        </is>
      </c>
      <c r="C738" t="inlineStr">
        <is>
          <t>Miraflores</t>
        </is>
      </c>
      <c r="D738" t="inlineStr">
        <is>
          <t>30/08/2026</t>
        </is>
      </c>
      <c r="E738" t="n">
        <v>19</v>
      </c>
      <c r="F738" t="n">
        <v>0</v>
      </c>
      <c r="G738">
        <f>E15724+F15724</f>
        <v/>
      </c>
    </row>
    <row r="739">
      <c r="A739" t="inlineStr">
        <is>
          <t>37011331</t>
        </is>
      </c>
      <c r="B739" t="inlineStr">
        <is>
          <t>PRODUCTO E4B202</t>
        </is>
      </c>
      <c r="C739" t="inlineStr">
        <is>
          <t>Salaverry</t>
        </is>
      </c>
      <c r="D739" t="inlineStr">
        <is>
          <t>30/08/2026</t>
        </is>
      </c>
      <c r="E739" t="n">
        <v>9</v>
      </c>
      <c r="F739" t="n">
        <v>1</v>
      </c>
      <c r="G739">
        <f>E15727+F15727</f>
        <v/>
      </c>
    </row>
    <row r="740">
      <c r="A740" t="inlineStr">
        <is>
          <t>37011331</t>
        </is>
      </c>
      <c r="B740" t="inlineStr">
        <is>
          <t>PRODUCTO E4B202</t>
        </is>
      </c>
      <c r="C740" t="inlineStr">
        <is>
          <t>San Borja</t>
        </is>
      </c>
      <c r="D740" t="inlineStr">
        <is>
          <t>30/08/2026</t>
        </is>
      </c>
      <c r="E740" t="n">
        <v>19</v>
      </c>
      <c r="F740" t="n">
        <v>0</v>
      </c>
      <c r="G740">
        <f>E15728+F15728</f>
        <v/>
      </c>
    </row>
    <row r="741">
      <c r="A741" t="inlineStr">
        <is>
          <t>37011336</t>
        </is>
      </c>
      <c r="B741" t="inlineStr">
        <is>
          <t>PRODUCTO 655101</t>
        </is>
      </c>
      <c r="C741" t="inlineStr">
        <is>
          <t>Jockey Plaza</t>
        </is>
      </c>
      <c r="D741" t="inlineStr">
        <is>
          <t>30/08/2026</t>
        </is>
      </c>
      <c r="E741" t="n">
        <v>8</v>
      </c>
      <c r="F741" t="n">
        <v>0</v>
      </c>
      <c r="G741">
        <f>E15733+F15733</f>
        <v/>
      </c>
    </row>
    <row r="742">
      <c r="A742" t="inlineStr">
        <is>
          <t>37011336</t>
        </is>
      </c>
      <c r="B742" t="inlineStr">
        <is>
          <t>PRODUCTO 655101</t>
        </is>
      </c>
      <c r="C742" t="inlineStr">
        <is>
          <t>San Miguel</t>
        </is>
      </c>
      <c r="D742" t="inlineStr">
        <is>
          <t>30/08/2026</t>
        </is>
      </c>
      <c r="E742" t="n">
        <v>9</v>
      </c>
      <c r="F742" t="n">
        <v>0</v>
      </c>
      <c r="G742">
        <f>E15734+F15734</f>
        <v/>
      </c>
    </row>
    <row r="743">
      <c r="A743" t="inlineStr">
        <is>
          <t>37011336</t>
        </is>
      </c>
      <c r="B743" t="inlineStr">
        <is>
          <t>PRODUCTO 655101</t>
        </is>
      </c>
      <c r="C743" t="inlineStr">
        <is>
          <t>Miraflores</t>
        </is>
      </c>
      <c r="D743" t="inlineStr">
        <is>
          <t>30/08/2026</t>
        </is>
      </c>
      <c r="E743" t="n">
        <v>6</v>
      </c>
      <c r="F743" t="n">
        <v>0</v>
      </c>
      <c r="G743">
        <f>E15735+F15735</f>
        <v/>
      </c>
    </row>
    <row r="744">
      <c r="A744" t="inlineStr">
        <is>
          <t>37011336</t>
        </is>
      </c>
      <c r="B744" t="inlineStr">
        <is>
          <t>PRODUCTO 655101</t>
        </is>
      </c>
      <c r="C744" t="inlineStr">
        <is>
          <t>Salaverry</t>
        </is>
      </c>
      <c r="D744" t="inlineStr">
        <is>
          <t>30/08/2026</t>
        </is>
      </c>
      <c r="E744" t="n">
        <v>8</v>
      </c>
      <c r="F744" t="n">
        <v>0</v>
      </c>
      <c r="G744">
        <f>E15739+F15739</f>
        <v/>
      </c>
    </row>
    <row r="745">
      <c r="A745" t="inlineStr">
        <is>
          <t>37011336</t>
        </is>
      </c>
      <c r="B745" t="inlineStr">
        <is>
          <t>PRODUCTO 655101</t>
        </is>
      </c>
      <c r="C745" t="inlineStr">
        <is>
          <t>San Borja</t>
        </is>
      </c>
      <c r="D745" t="inlineStr">
        <is>
          <t>30/08/2026</t>
        </is>
      </c>
      <c r="E745" t="n">
        <v>8</v>
      </c>
      <c r="F745" t="n">
        <v>0</v>
      </c>
      <c r="G745">
        <f>E15740+F15740</f>
        <v/>
      </c>
    </row>
    <row r="746">
      <c r="A746" t="inlineStr">
        <is>
          <t>37011535</t>
        </is>
      </c>
      <c r="B746" t="inlineStr">
        <is>
          <t>PRODUCTO D93874</t>
        </is>
      </c>
      <c r="C746" t="inlineStr">
        <is>
          <t>Jockey Plaza</t>
        </is>
      </c>
      <c r="D746" t="inlineStr">
        <is>
          <t>30/08/2026</t>
        </is>
      </c>
      <c r="E746" t="n">
        <v>25</v>
      </c>
      <c r="F746" t="n">
        <v>0</v>
      </c>
      <c r="G746">
        <f>E15791+F15791</f>
        <v/>
      </c>
    </row>
    <row r="747">
      <c r="A747" t="inlineStr">
        <is>
          <t>37011535</t>
        </is>
      </c>
      <c r="B747" t="inlineStr">
        <is>
          <t>PRODUCTO D93874</t>
        </is>
      </c>
      <c r="C747" t="inlineStr">
        <is>
          <t>San Miguel</t>
        </is>
      </c>
      <c r="D747" t="inlineStr">
        <is>
          <t>30/08/2026</t>
        </is>
      </c>
      <c r="E747" t="n">
        <v>14</v>
      </c>
      <c r="F747" t="n">
        <v>0</v>
      </c>
      <c r="G747">
        <f>E15792+F15792</f>
        <v/>
      </c>
    </row>
    <row r="748">
      <c r="A748" t="inlineStr">
        <is>
          <t>37011535</t>
        </is>
      </c>
      <c r="B748" t="inlineStr">
        <is>
          <t>PRODUCTO D93874</t>
        </is>
      </c>
      <c r="C748" t="inlineStr">
        <is>
          <t>Miraflores</t>
        </is>
      </c>
      <c r="D748" t="inlineStr">
        <is>
          <t>30/08/2026</t>
        </is>
      </c>
      <c r="E748" t="n">
        <v>24</v>
      </c>
      <c r="F748" t="n">
        <v>0</v>
      </c>
      <c r="G748">
        <f>E15793+F15793</f>
        <v/>
      </c>
    </row>
    <row r="749">
      <c r="A749" t="inlineStr">
        <is>
          <t>37011535</t>
        </is>
      </c>
      <c r="B749" t="inlineStr">
        <is>
          <t>PRODUCTO D93874</t>
        </is>
      </c>
      <c r="C749" t="inlineStr">
        <is>
          <t>Salaverry</t>
        </is>
      </c>
      <c r="D749" t="inlineStr">
        <is>
          <t>30/08/2026</t>
        </is>
      </c>
      <c r="E749" t="n">
        <v>4</v>
      </c>
      <c r="F749" t="n">
        <v>0</v>
      </c>
      <c r="G749">
        <f>E15796+F15796</f>
        <v/>
      </c>
    </row>
    <row r="750">
      <c r="A750" t="inlineStr">
        <is>
          <t>37011535</t>
        </is>
      </c>
      <c r="B750" t="inlineStr">
        <is>
          <t>PRODUCTO D93874</t>
        </is>
      </c>
      <c r="C750" t="inlineStr">
        <is>
          <t>San Borja</t>
        </is>
      </c>
      <c r="D750" t="inlineStr">
        <is>
          <t>30/08/2026</t>
        </is>
      </c>
      <c r="E750" t="n">
        <v>2</v>
      </c>
      <c r="F750" t="n">
        <v>0</v>
      </c>
      <c r="G750">
        <f>E15797+F15797</f>
        <v/>
      </c>
    </row>
    <row r="751">
      <c r="A751" t="inlineStr">
        <is>
          <t>37011535</t>
        </is>
      </c>
      <c r="B751" t="inlineStr">
        <is>
          <t>PRODUCTO D93874</t>
        </is>
      </c>
      <c r="C751" t="inlineStr">
        <is>
          <t>Piura</t>
        </is>
      </c>
      <c r="D751" t="inlineStr">
        <is>
          <t>30/08/2026</t>
        </is>
      </c>
      <c r="E751" t="n">
        <v>29</v>
      </c>
      <c r="F751" t="n">
        <v>0</v>
      </c>
      <c r="G751">
        <f>E15799+F15799</f>
        <v/>
      </c>
    </row>
    <row r="752">
      <c r="A752" t="inlineStr">
        <is>
          <t>37035794</t>
        </is>
      </c>
      <c r="B752" t="inlineStr">
        <is>
          <t>PRODUCTO 196FB2</t>
        </is>
      </c>
      <c r="C752" t="inlineStr">
        <is>
          <t>Jockey Plaza</t>
        </is>
      </c>
      <c r="D752" t="inlineStr">
        <is>
          <t>30/08/2026</t>
        </is>
      </c>
      <c r="E752" t="n">
        <v>12</v>
      </c>
      <c r="F752" t="n">
        <v>0</v>
      </c>
      <c r="G752">
        <f>E15858+F15858</f>
        <v/>
      </c>
    </row>
    <row r="753">
      <c r="A753" t="inlineStr">
        <is>
          <t>37035794</t>
        </is>
      </c>
      <c r="B753" t="inlineStr">
        <is>
          <t>PRODUCTO 196FB2</t>
        </is>
      </c>
      <c r="C753" t="inlineStr">
        <is>
          <t>Miraflores</t>
        </is>
      </c>
      <c r="D753" t="inlineStr">
        <is>
          <t>30/08/2026</t>
        </is>
      </c>
      <c r="E753" t="n">
        <v>16</v>
      </c>
      <c r="F753" t="n">
        <v>0</v>
      </c>
      <c r="G753">
        <f>E15859+F15859</f>
        <v/>
      </c>
    </row>
    <row r="754">
      <c r="A754" t="inlineStr">
        <is>
          <t>37035794</t>
        </is>
      </c>
      <c r="B754" t="inlineStr">
        <is>
          <t>PRODUCTO 196FB2</t>
        </is>
      </c>
      <c r="C754" t="inlineStr">
        <is>
          <t>Salaverry</t>
        </is>
      </c>
      <c r="D754" t="inlineStr">
        <is>
          <t>30/08/2026</t>
        </is>
      </c>
      <c r="E754" t="n">
        <v>5</v>
      </c>
      <c r="F754" t="n">
        <v>0</v>
      </c>
      <c r="G754">
        <f>E15861+F15861</f>
        <v/>
      </c>
    </row>
    <row r="755">
      <c r="A755" t="inlineStr">
        <is>
          <t>37035794</t>
        </is>
      </c>
      <c r="B755" t="inlineStr">
        <is>
          <t>PRODUCTO 196FB2</t>
        </is>
      </c>
      <c r="C755" t="inlineStr">
        <is>
          <t>Piura</t>
        </is>
      </c>
      <c r="D755" t="inlineStr">
        <is>
          <t>30/08/2026</t>
        </is>
      </c>
      <c r="E755" t="n">
        <v>16</v>
      </c>
      <c r="F755" t="n">
        <v>0</v>
      </c>
      <c r="G755">
        <f>E15862+F15862</f>
        <v/>
      </c>
    </row>
    <row r="756">
      <c r="A756" t="inlineStr">
        <is>
          <t>37035817</t>
        </is>
      </c>
      <c r="B756" t="inlineStr">
        <is>
          <t>PRODUCTO 03BF40</t>
        </is>
      </c>
      <c r="C756" t="inlineStr">
        <is>
          <t>Jockey Plaza</t>
        </is>
      </c>
      <c r="D756" t="inlineStr">
        <is>
          <t>30/08/2026</t>
        </is>
      </c>
      <c r="E756" t="n">
        <v>7</v>
      </c>
      <c r="F756" t="n">
        <v>0</v>
      </c>
      <c r="G756">
        <f>E15874+F15874</f>
        <v/>
      </c>
    </row>
    <row r="757">
      <c r="A757" t="inlineStr">
        <is>
          <t>37035817</t>
        </is>
      </c>
      <c r="B757" t="inlineStr">
        <is>
          <t>PRODUCTO 03BF40</t>
        </is>
      </c>
      <c r="C757" t="inlineStr">
        <is>
          <t>Miraflores</t>
        </is>
      </c>
      <c r="D757" t="inlineStr">
        <is>
          <t>30/08/2026</t>
        </is>
      </c>
      <c r="E757" t="n">
        <v>15</v>
      </c>
      <c r="F757" t="n">
        <v>0</v>
      </c>
      <c r="G757">
        <f>E15875+F15875</f>
        <v/>
      </c>
    </row>
    <row r="758">
      <c r="A758" t="inlineStr">
        <is>
          <t>37035817</t>
        </is>
      </c>
      <c r="B758" t="inlineStr">
        <is>
          <t>PRODUCTO 03BF40</t>
        </is>
      </c>
      <c r="C758" t="inlineStr">
        <is>
          <t>Piura</t>
        </is>
      </c>
      <c r="D758" t="inlineStr">
        <is>
          <t>30/08/2026</t>
        </is>
      </c>
      <c r="E758" t="n">
        <v>6</v>
      </c>
      <c r="F758" t="n">
        <v>0</v>
      </c>
      <c r="G758">
        <f>E15877+F15877</f>
        <v/>
      </c>
    </row>
    <row r="759">
      <c r="A759" t="inlineStr">
        <is>
          <t>37035822</t>
        </is>
      </c>
      <c r="B759" t="inlineStr">
        <is>
          <t>PRODUCTO 3BC968</t>
        </is>
      </c>
      <c r="C759" t="inlineStr">
        <is>
          <t>Jockey Plaza</t>
        </is>
      </c>
      <c r="D759" t="inlineStr">
        <is>
          <t>30/08/2026</t>
        </is>
      </c>
      <c r="E759" t="n">
        <v>22</v>
      </c>
      <c r="F759" t="n">
        <v>0</v>
      </c>
      <c r="G759">
        <f>E15879+F15879</f>
        <v/>
      </c>
    </row>
    <row r="760">
      <c r="A760" t="inlineStr">
        <is>
          <t>37035822</t>
        </is>
      </c>
      <c r="B760" t="inlineStr">
        <is>
          <t>PRODUCTO 3BC968</t>
        </is>
      </c>
      <c r="C760" t="inlineStr">
        <is>
          <t>Miraflores</t>
        </is>
      </c>
      <c r="D760" t="inlineStr">
        <is>
          <t>30/08/2026</t>
        </is>
      </c>
      <c r="E760" t="n">
        <v>26</v>
      </c>
      <c r="F760" t="n">
        <v>0</v>
      </c>
      <c r="G760">
        <f>E15880+F15880</f>
        <v/>
      </c>
    </row>
    <row r="761">
      <c r="A761" t="inlineStr">
        <is>
          <t>37035822</t>
        </is>
      </c>
      <c r="B761" t="inlineStr">
        <is>
          <t>PRODUCTO 3BC968</t>
        </is>
      </c>
      <c r="C761" t="inlineStr">
        <is>
          <t>Salaverry</t>
        </is>
      </c>
      <c r="D761" t="inlineStr">
        <is>
          <t>30/08/2026</t>
        </is>
      </c>
      <c r="E761" t="n">
        <v>14</v>
      </c>
      <c r="F761" t="n">
        <v>0</v>
      </c>
      <c r="G761">
        <f>E15882+F15882</f>
        <v/>
      </c>
    </row>
    <row r="762">
      <c r="A762" t="inlineStr">
        <is>
          <t>37035822</t>
        </is>
      </c>
      <c r="B762" t="inlineStr">
        <is>
          <t>PRODUCTO 3BC968</t>
        </is>
      </c>
      <c r="C762" t="inlineStr">
        <is>
          <t>Piura</t>
        </is>
      </c>
      <c r="D762" t="inlineStr">
        <is>
          <t>30/08/2026</t>
        </is>
      </c>
      <c r="E762" t="n">
        <v>8</v>
      </c>
      <c r="F762" t="n">
        <v>0</v>
      </c>
      <c r="G762">
        <f>E15883+F15883</f>
        <v/>
      </c>
    </row>
    <row r="763">
      <c r="A763" t="inlineStr">
        <is>
          <t>37035827</t>
        </is>
      </c>
      <c r="B763" t="inlineStr">
        <is>
          <t>PRODUCTO 6930EB</t>
        </is>
      </c>
      <c r="C763" t="inlineStr">
        <is>
          <t>Jockey Plaza</t>
        </is>
      </c>
      <c r="D763" t="inlineStr">
        <is>
          <t>30/08/2026</t>
        </is>
      </c>
      <c r="E763" t="n">
        <v>19</v>
      </c>
      <c r="F763" t="n">
        <v>0</v>
      </c>
      <c r="G763">
        <f>E15884+F15884</f>
        <v/>
      </c>
    </row>
    <row r="764">
      <c r="A764" t="inlineStr">
        <is>
          <t>37035827</t>
        </is>
      </c>
      <c r="B764" t="inlineStr">
        <is>
          <t>PRODUCTO 6930EB</t>
        </is>
      </c>
      <c r="C764" t="inlineStr">
        <is>
          <t>Miraflores</t>
        </is>
      </c>
      <c r="D764" t="inlineStr">
        <is>
          <t>30/08/2026</t>
        </is>
      </c>
      <c r="E764" t="n">
        <v>23</v>
      </c>
      <c r="F764" t="n">
        <v>0</v>
      </c>
      <c r="G764">
        <f>E15885+F15885</f>
        <v/>
      </c>
    </row>
    <row r="765">
      <c r="A765" t="inlineStr">
        <is>
          <t>37035827</t>
        </is>
      </c>
      <c r="B765" t="inlineStr">
        <is>
          <t>PRODUCTO 6930EB</t>
        </is>
      </c>
      <c r="C765" t="inlineStr">
        <is>
          <t>Salaverry</t>
        </is>
      </c>
      <c r="D765" t="inlineStr">
        <is>
          <t>30/08/2026</t>
        </is>
      </c>
      <c r="E765" t="n">
        <v>12</v>
      </c>
      <c r="F765" t="n">
        <v>0</v>
      </c>
      <c r="G765">
        <f>E15888+F15888</f>
        <v/>
      </c>
    </row>
    <row r="766">
      <c r="A766" t="inlineStr">
        <is>
          <t>37035827</t>
        </is>
      </c>
      <c r="B766" t="inlineStr">
        <is>
          <t>PRODUCTO 6930EB</t>
        </is>
      </c>
      <c r="C766" t="inlineStr">
        <is>
          <t>Piura</t>
        </is>
      </c>
      <c r="D766" t="inlineStr">
        <is>
          <t>30/08/2026</t>
        </is>
      </c>
      <c r="E766" t="n">
        <v>13</v>
      </c>
      <c r="F766" t="n">
        <v>0</v>
      </c>
      <c r="G766">
        <f>E15889+F15889</f>
        <v/>
      </c>
    </row>
    <row r="767">
      <c r="A767" t="inlineStr">
        <is>
          <t>37035847</t>
        </is>
      </c>
      <c r="B767" t="inlineStr">
        <is>
          <t>PRODUCTO 2441B3</t>
        </is>
      </c>
      <c r="C767" t="inlineStr">
        <is>
          <t>Jockey Plaza</t>
        </is>
      </c>
      <c r="D767" t="inlineStr">
        <is>
          <t>30/08/2026</t>
        </is>
      </c>
      <c r="E767" t="n">
        <v>14</v>
      </c>
      <c r="F767" t="n">
        <v>0</v>
      </c>
      <c r="G767">
        <f>E15918+F15918</f>
        <v/>
      </c>
    </row>
    <row r="768">
      <c r="A768" t="inlineStr">
        <is>
          <t>37035847</t>
        </is>
      </c>
      <c r="B768" t="inlineStr">
        <is>
          <t>PRODUCTO 2441B3</t>
        </is>
      </c>
      <c r="C768" t="inlineStr">
        <is>
          <t>Miraflores</t>
        </is>
      </c>
      <c r="D768" t="inlineStr">
        <is>
          <t>30/08/2026</t>
        </is>
      </c>
      <c r="E768" t="n">
        <v>25</v>
      </c>
      <c r="F768" t="n">
        <v>0</v>
      </c>
      <c r="G768">
        <f>E15919+F15919</f>
        <v/>
      </c>
    </row>
    <row r="769">
      <c r="A769" t="inlineStr">
        <is>
          <t>37035847</t>
        </is>
      </c>
      <c r="B769" t="inlineStr">
        <is>
          <t>PRODUCTO 2441B3</t>
        </is>
      </c>
      <c r="C769" t="inlineStr">
        <is>
          <t>Salaverry</t>
        </is>
      </c>
      <c r="D769" t="inlineStr">
        <is>
          <t>30/08/2026</t>
        </is>
      </c>
      <c r="E769" t="n">
        <v>13</v>
      </c>
      <c r="F769" t="n">
        <v>0</v>
      </c>
      <c r="G769">
        <f>E15921+F15921</f>
        <v/>
      </c>
    </row>
    <row r="770">
      <c r="A770" t="inlineStr">
        <is>
          <t>37035847</t>
        </is>
      </c>
      <c r="B770" t="inlineStr">
        <is>
          <t>PRODUCTO 2441B3</t>
        </is>
      </c>
      <c r="C770" t="inlineStr">
        <is>
          <t>Piura</t>
        </is>
      </c>
      <c r="D770" t="inlineStr">
        <is>
          <t>30/08/2026</t>
        </is>
      </c>
      <c r="E770" t="n">
        <v>9</v>
      </c>
      <c r="F770" t="n">
        <v>0</v>
      </c>
      <c r="G770">
        <f>E15922+F15922</f>
        <v/>
      </c>
    </row>
    <row r="771">
      <c r="A771" t="inlineStr">
        <is>
          <t>37035867</t>
        </is>
      </c>
      <c r="B771" t="inlineStr">
        <is>
          <t>PRODUCTO 27A611</t>
        </is>
      </c>
      <c r="C771" t="inlineStr">
        <is>
          <t>Miraflores</t>
        </is>
      </c>
      <c r="D771" t="inlineStr">
        <is>
          <t>30/08/2026</t>
        </is>
      </c>
      <c r="E771" t="n">
        <v>7</v>
      </c>
      <c r="F771" t="n">
        <v>0</v>
      </c>
      <c r="G771">
        <f>E15937+F15937</f>
        <v/>
      </c>
    </row>
    <row r="772">
      <c r="A772" t="inlineStr">
        <is>
          <t>37035867</t>
        </is>
      </c>
      <c r="B772" t="inlineStr">
        <is>
          <t>PRODUCTO 27A611</t>
        </is>
      </c>
      <c r="C772" t="inlineStr">
        <is>
          <t>Piura</t>
        </is>
      </c>
      <c r="D772" t="inlineStr">
        <is>
          <t>30/08/2026</t>
        </is>
      </c>
      <c r="E772" t="n">
        <v>-1</v>
      </c>
      <c r="F772" t="n">
        <v>0</v>
      </c>
      <c r="G772">
        <f>E15938+F15938</f>
        <v/>
      </c>
    </row>
    <row r="773">
      <c r="A773" t="inlineStr">
        <is>
          <t>37035887</t>
        </is>
      </c>
      <c r="B773" t="inlineStr">
        <is>
          <t>PRODUCTO 799EA3</t>
        </is>
      </c>
      <c r="C773" t="inlineStr">
        <is>
          <t>Jockey Plaza</t>
        </is>
      </c>
      <c r="D773" t="inlineStr">
        <is>
          <t>30/08/2026</t>
        </is>
      </c>
      <c r="E773" t="n">
        <v>17</v>
      </c>
      <c r="F773" t="n">
        <v>0</v>
      </c>
      <c r="G773">
        <f>E15957+F15957</f>
        <v/>
      </c>
    </row>
    <row r="774">
      <c r="A774" t="inlineStr">
        <is>
          <t>37035887</t>
        </is>
      </c>
      <c r="B774" t="inlineStr">
        <is>
          <t>PRODUCTO 799EA3</t>
        </is>
      </c>
      <c r="C774" t="inlineStr">
        <is>
          <t>San Miguel</t>
        </is>
      </c>
      <c r="D774" t="inlineStr">
        <is>
          <t>30/08/2026</t>
        </is>
      </c>
      <c r="E774" t="n">
        <v>1</v>
      </c>
      <c r="F774" t="n">
        <v>0</v>
      </c>
      <c r="G774">
        <f>E15958+F15958</f>
        <v/>
      </c>
    </row>
    <row r="775">
      <c r="A775" t="inlineStr">
        <is>
          <t>37035887</t>
        </is>
      </c>
      <c r="B775" t="inlineStr">
        <is>
          <t>PRODUCTO 799EA3</t>
        </is>
      </c>
      <c r="C775" t="inlineStr">
        <is>
          <t>Miraflores</t>
        </is>
      </c>
      <c r="D775" t="inlineStr">
        <is>
          <t>30/08/2026</t>
        </is>
      </c>
      <c r="E775" t="n">
        <v>15</v>
      </c>
      <c r="F775" t="n">
        <v>0</v>
      </c>
      <c r="G775">
        <f>E15959+F15959</f>
        <v/>
      </c>
    </row>
    <row r="776">
      <c r="A776" t="inlineStr">
        <is>
          <t>37035887</t>
        </is>
      </c>
      <c r="B776" t="inlineStr">
        <is>
          <t>PRODUCTO 799EA3</t>
        </is>
      </c>
      <c r="C776" t="inlineStr">
        <is>
          <t>Salaverry</t>
        </is>
      </c>
      <c r="D776" t="inlineStr">
        <is>
          <t>30/08/2026</t>
        </is>
      </c>
      <c r="E776" t="n">
        <v>20</v>
      </c>
      <c r="F776" t="n">
        <v>0</v>
      </c>
      <c r="G776">
        <f>E15961+F15961</f>
        <v/>
      </c>
    </row>
    <row r="777">
      <c r="A777" t="inlineStr">
        <is>
          <t>37067304</t>
        </is>
      </c>
      <c r="B777" t="inlineStr">
        <is>
          <t>PRODUCTO C2124A</t>
        </is>
      </c>
      <c r="C777" t="inlineStr">
        <is>
          <t>Miraflores</t>
        </is>
      </c>
      <c r="D777" t="inlineStr">
        <is>
          <t>30/08/2026</t>
        </is>
      </c>
      <c r="E777" t="n">
        <v>6</v>
      </c>
      <c r="F777" t="n">
        <v>0</v>
      </c>
      <c r="G777">
        <f>E16005+F16005</f>
        <v/>
      </c>
    </row>
    <row r="778">
      <c r="A778" t="inlineStr">
        <is>
          <t>37067304</t>
        </is>
      </c>
      <c r="B778" t="inlineStr">
        <is>
          <t>PRODUCTO C2124A</t>
        </is>
      </c>
      <c r="C778" t="inlineStr">
        <is>
          <t>Salaverry</t>
        </is>
      </c>
      <c r="D778" t="inlineStr">
        <is>
          <t>30/08/2026</t>
        </is>
      </c>
      <c r="E778" t="n">
        <v>4</v>
      </c>
      <c r="F778" t="n">
        <v>0</v>
      </c>
      <c r="G778">
        <f>E16007+F16007</f>
        <v/>
      </c>
    </row>
    <row r="779">
      <c r="A779" t="inlineStr">
        <is>
          <t>37067304</t>
        </is>
      </c>
      <c r="B779" t="inlineStr">
        <is>
          <t>PRODUCTO C2124A</t>
        </is>
      </c>
      <c r="C779" t="inlineStr">
        <is>
          <t>San Borja</t>
        </is>
      </c>
      <c r="D779" t="inlineStr">
        <is>
          <t>30/08/2026</t>
        </is>
      </c>
      <c r="E779" t="n">
        <v>1</v>
      </c>
      <c r="F779" t="n">
        <v>0</v>
      </c>
      <c r="G779">
        <f>E16008+F16008</f>
        <v/>
      </c>
    </row>
    <row r="780">
      <c r="A780" t="inlineStr">
        <is>
          <t>37067309</t>
        </is>
      </c>
      <c r="B780" t="inlineStr">
        <is>
          <t>PRODUCTO 24610B</t>
        </is>
      </c>
      <c r="C780" t="inlineStr">
        <is>
          <t>Jockey Plaza</t>
        </is>
      </c>
      <c r="D780" t="inlineStr">
        <is>
          <t>30/08/2026</t>
        </is>
      </c>
      <c r="E780" t="n">
        <v>1</v>
      </c>
      <c r="F780" t="n">
        <v>0</v>
      </c>
      <c r="G780">
        <f>E16012+F16012</f>
        <v/>
      </c>
    </row>
    <row r="781">
      <c r="A781" t="inlineStr">
        <is>
          <t>37067309</t>
        </is>
      </c>
      <c r="B781" t="inlineStr">
        <is>
          <t>PRODUCTO 24610B</t>
        </is>
      </c>
      <c r="C781" t="inlineStr">
        <is>
          <t>San Miguel</t>
        </is>
      </c>
      <c r="D781" t="inlineStr">
        <is>
          <t>30/08/2026</t>
        </is>
      </c>
      <c r="E781" t="n">
        <v>5</v>
      </c>
      <c r="F781" t="n">
        <v>0</v>
      </c>
      <c r="G781">
        <f>E16013+F16013</f>
        <v/>
      </c>
    </row>
    <row r="782">
      <c r="A782" t="inlineStr">
        <is>
          <t>37067309</t>
        </is>
      </c>
      <c r="B782" t="inlineStr">
        <is>
          <t>PRODUCTO 24610B</t>
        </is>
      </c>
      <c r="C782" t="inlineStr">
        <is>
          <t>Miraflores</t>
        </is>
      </c>
      <c r="D782" t="inlineStr">
        <is>
          <t>30/08/2026</t>
        </is>
      </c>
      <c r="E782" t="n">
        <v>17</v>
      </c>
      <c r="F782" t="n">
        <v>0</v>
      </c>
      <c r="G782">
        <f>E16014+F16014</f>
        <v/>
      </c>
    </row>
    <row r="783">
      <c r="A783" t="inlineStr">
        <is>
          <t>37067309</t>
        </is>
      </c>
      <c r="B783" t="inlineStr">
        <is>
          <t>PRODUCTO 24610B</t>
        </is>
      </c>
      <c r="C783" t="inlineStr">
        <is>
          <t>Salaverry</t>
        </is>
      </c>
      <c r="D783" t="inlineStr">
        <is>
          <t>30/08/2026</t>
        </is>
      </c>
      <c r="E783" t="n">
        <v>19</v>
      </c>
      <c r="F783" t="n">
        <v>0</v>
      </c>
      <c r="G783">
        <f>E16017+F16017</f>
        <v/>
      </c>
    </row>
    <row r="784">
      <c r="A784" t="inlineStr">
        <is>
          <t>37092694</t>
        </is>
      </c>
      <c r="B784" t="inlineStr">
        <is>
          <t>PRODUCTO D7AF5C</t>
        </is>
      </c>
      <c r="C784" t="inlineStr">
        <is>
          <t>Jockey Plaza</t>
        </is>
      </c>
      <c r="D784" t="inlineStr">
        <is>
          <t>30/08/2026</t>
        </is>
      </c>
      <c r="E784" t="n">
        <v>5</v>
      </c>
      <c r="F784" t="n">
        <v>0</v>
      </c>
      <c r="G784">
        <f>E16047+F16047</f>
        <v/>
      </c>
    </row>
    <row r="785">
      <c r="A785" t="inlineStr">
        <is>
          <t>37092694</t>
        </is>
      </c>
      <c r="B785" t="inlineStr">
        <is>
          <t>PRODUCTO D7AF5C</t>
        </is>
      </c>
      <c r="C785" t="inlineStr">
        <is>
          <t>San Miguel</t>
        </is>
      </c>
      <c r="D785" t="inlineStr">
        <is>
          <t>30/08/2026</t>
        </is>
      </c>
      <c r="E785" t="n">
        <v>25</v>
      </c>
      <c r="F785" t="n">
        <v>0</v>
      </c>
      <c r="G785">
        <f>E16048+F16048</f>
        <v/>
      </c>
    </row>
    <row r="786">
      <c r="A786" t="inlineStr">
        <is>
          <t>37092694</t>
        </is>
      </c>
      <c r="B786" t="inlineStr">
        <is>
          <t>PRODUCTO D7AF5C</t>
        </is>
      </c>
      <c r="C786" t="inlineStr">
        <is>
          <t>Miraflores</t>
        </is>
      </c>
      <c r="D786" t="inlineStr">
        <is>
          <t>30/08/2026</t>
        </is>
      </c>
      <c r="E786" t="n">
        <v>10</v>
      </c>
      <c r="F786" t="n">
        <v>0</v>
      </c>
      <c r="G786">
        <f>E16049+F16049</f>
        <v/>
      </c>
    </row>
    <row r="787">
      <c r="A787" t="inlineStr">
        <is>
          <t>37092694</t>
        </is>
      </c>
      <c r="B787" t="inlineStr">
        <is>
          <t>PRODUCTO D7AF5C</t>
        </is>
      </c>
      <c r="C787" t="inlineStr">
        <is>
          <t>Salaverry</t>
        </is>
      </c>
      <c r="D787" t="inlineStr">
        <is>
          <t>30/08/2026</t>
        </is>
      </c>
      <c r="E787" t="n">
        <v>13</v>
      </c>
      <c r="F787" t="n">
        <v>0</v>
      </c>
      <c r="G787">
        <f>E16053+F16053</f>
        <v/>
      </c>
    </row>
    <row r="788">
      <c r="A788" t="inlineStr">
        <is>
          <t>37092694</t>
        </is>
      </c>
      <c r="B788" t="inlineStr">
        <is>
          <t>PRODUCTO D7AF5C</t>
        </is>
      </c>
      <c r="C788" t="inlineStr">
        <is>
          <t>San Borja</t>
        </is>
      </c>
      <c r="D788" t="inlineStr">
        <is>
          <t>30/08/2026</t>
        </is>
      </c>
      <c r="E788" t="n">
        <v>4</v>
      </c>
      <c r="F788" t="n">
        <v>0</v>
      </c>
      <c r="G788">
        <f>E16054+F16054</f>
        <v/>
      </c>
    </row>
    <row r="789">
      <c r="A789" t="inlineStr">
        <is>
          <t>37092694</t>
        </is>
      </c>
      <c r="B789" t="inlineStr">
        <is>
          <t>PRODUCTO D7AF5C</t>
        </is>
      </c>
      <c r="C789" t="inlineStr">
        <is>
          <t>Piura</t>
        </is>
      </c>
      <c r="D789" t="inlineStr">
        <is>
          <t>30/08/2026</t>
        </is>
      </c>
      <c r="E789" t="n">
        <v>3</v>
      </c>
      <c r="F789" t="n">
        <v>0</v>
      </c>
      <c r="G789">
        <f>E16056+F16056</f>
        <v/>
      </c>
    </row>
    <row r="790">
      <c r="A790" t="inlineStr">
        <is>
          <t>37092815</t>
        </is>
      </c>
      <c r="B790" t="inlineStr">
        <is>
          <t>PRODUCTO 0245A1</t>
        </is>
      </c>
      <c r="C790" t="inlineStr">
        <is>
          <t>Jockey Plaza</t>
        </is>
      </c>
      <c r="D790" t="inlineStr">
        <is>
          <t>30/08/2026</t>
        </is>
      </c>
      <c r="E790" t="n">
        <v>9</v>
      </c>
      <c r="F790" t="n">
        <v>0</v>
      </c>
      <c r="G790">
        <f>E16223+F16223</f>
        <v/>
      </c>
    </row>
    <row r="791">
      <c r="A791" t="inlineStr">
        <is>
          <t>37092815</t>
        </is>
      </c>
      <c r="B791" t="inlineStr">
        <is>
          <t>PRODUCTO 0245A1</t>
        </is>
      </c>
      <c r="C791" t="inlineStr">
        <is>
          <t>San Miguel</t>
        </is>
      </c>
      <c r="D791" t="inlineStr">
        <is>
          <t>30/08/2026</t>
        </is>
      </c>
      <c r="E791" t="n">
        <v>7</v>
      </c>
      <c r="F791" t="n">
        <v>0</v>
      </c>
      <c r="G791">
        <f>E16224+F16224</f>
        <v/>
      </c>
    </row>
    <row r="792">
      <c r="A792" t="inlineStr">
        <is>
          <t>37092815</t>
        </is>
      </c>
      <c r="B792" t="inlineStr">
        <is>
          <t>PRODUCTO 0245A1</t>
        </is>
      </c>
      <c r="C792" t="inlineStr">
        <is>
          <t>Miraflores</t>
        </is>
      </c>
      <c r="D792" t="inlineStr">
        <is>
          <t>30/08/2026</t>
        </is>
      </c>
      <c r="E792" t="n">
        <v>3</v>
      </c>
      <c r="F792" t="n">
        <v>0</v>
      </c>
      <c r="G792">
        <f>E16225+F16225</f>
        <v/>
      </c>
    </row>
    <row r="793">
      <c r="A793" t="inlineStr">
        <is>
          <t>37092815</t>
        </is>
      </c>
      <c r="B793" t="inlineStr">
        <is>
          <t>PRODUCTO 0245A1</t>
        </is>
      </c>
      <c r="C793" t="inlineStr">
        <is>
          <t>Salaverry</t>
        </is>
      </c>
      <c r="D793" t="inlineStr">
        <is>
          <t>30/08/2026</t>
        </is>
      </c>
      <c r="E793" t="n">
        <v>7</v>
      </c>
      <c r="F793" t="n">
        <v>0</v>
      </c>
      <c r="G793">
        <f>E16231+F16231</f>
        <v/>
      </c>
    </row>
    <row r="794">
      <c r="A794" t="inlineStr">
        <is>
          <t>37092815</t>
        </is>
      </c>
      <c r="B794" t="inlineStr">
        <is>
          <t>PRODUCTO 0245A1</t>
        </is>
      </c>
      <c r="C794" t="inlineStr">
        <is>
          <t>San Borja</t>
        </is>
      </c>
      <c r="D794" t="inlineStr">
        <is>
          <t>30/08/2026</t>
        </is>
      </c>
      <c r="E794" t="n">
        <v>13</v>
      </c>
      <c r="F794" t="n">
        <v>0</v>
      </c>
      <c r="G794">
        <f>E16232+F16232</f>
        <v/>
      </c>
    </row>
    <row r="795">
      <c r="A795" t="inlineStr">
        <is>
          <t>37092815</t>
        </is>
      </c>
      <c r="B795" t="inlineStr">
        <is>
          <t>PRODUCTO 0245A1</t>
        </is>
      </c>
      <c r="C795" t="inlineStr">
        <is>
          <t>Piura</t>
        </is>
      </c>
      <c r="D795" t="inlineStr">
        <is>
          <t>30/08/2026</t>
        </is>
      </c>
      <c r="E795" t="n">
        <v>2</v>
      </c>
      <c r="F795" t="n">
        <v>0</v>
      </c>
      <c r="G795">
        <f>E16234+F16234</f>
        <v/>
      </c>
    </row>
    <row r="796">
      <c r="A796" t="inlineStr">
        <is>
          <t>37218777</t>
        </is>
      </c>
      <c r="B796" t="inlineStr">
        <is>
          <t>PRODUCTO 5B1C5A</t>
        </is>
      </c>
      <c r="C796" t="inlineStr">
        <is>
          <t>Jockey Plaza</t>
        </is>
      </c>
      <c r="D796" t="inlineStr">
        <is>
          <t>30/08/2026</t>
        </is>
      </c>
      <c r="E796" t="n">
        <v>38</v>
      </c>
      <c r="F796" t="n">
        <v>0</v>
      </c>
      <c r="G796">
        <f>E16431+F16431</f>
        <v/>
      </c>
    </row>
    <row r="797">
      <c r="A797" t="inlineStr">
        <is>
          <t>37218777</t>
        </is>
      </c>
      <c r="B797" t="inlineStr">
        <is>
          <t>PRODUCTO 5B1C5A</t>
        </is>
      </c>
      <c r="C797" t="inlineStr">
        <is>
          <t>San Miguel</t>
        </is>
      </c>
      <c r="D797" t="inlineStr">
        <is>
          <t>30/08/2026</t>
        </is>
      </c>
      <c r="E797" t="n">
        <v>1</v>
      </c>
      <c r="F797" t="n">
        <v>0</v>
      </c>
      <c r="G797">
        <f>E16432+F16432</f>
        <v/>
      </c>
    </row>
    <row r="798">
      <c r="A798" t="inlineStr">
        <is>
          <t>37218777</t>
        </is>
      </c>
      <c r="B798" t="inlineStr">
        <is>
          <t>PRODUCTO 5B1C5A</t>
        </is>
      </c>
      <c r="C798" t="inlineStr">
        <is>
          <t>Miraflores</t>
        </is>
      </c>
      <c r="D798" t="inlineStr">
        <is>
          <t>30/08/2026</t>
        </is>
      </c>
      <c r="E798" t="n">
        <v>28</v>
      </c>
      <c r="F798" t="n">
        <v>0</v>
      </c>
      <c r="G798">
        <f>E16433+F16433</f>
        <v/>
      </c>
    </row>
    <row r="799">
      <c r="A799" t="inlineStr">
        <is>
          <t>37218777</t>
        </is>
      </c>
      <c r="B799" t="inlineStr">
        <is>
          <t>PRODUCTO 5B1C5A</t>
        </is>
      </c>
      <c r="C799" t="inlineStr">
        <is>
          <t>Salaverry</t>
        </is>
      </c>
      <c r="D799" t="inlineStr">
        <is>
          <t>30/08/2026</t>
        </is>
      </c>
      <c r="E799" t="n">
        <v>22</v>
      </c>
      <c r="F799" t="n">
        <v>0</v>
      </c>
      <c r="G799">
        <f>E16436+F16436</f>
        <v/>
      </c>
    </row>
    <row r="800">
      <c r="A800" t="inlineStr">
        <is>
          <t>37218777</t>
        </is>
      </c>
      <c r="B800" t="inlineStr">
        <is>
          <t>PRODUCTO 5B1C5A</t>
        </is>
      </c>
      <c r="C800" t="inlineStr">
        <is>
          <t>Piura</t>
        </is>
      </c>
      <c r="D800" t="inlineStr">
        <is>
          <t>30/08/2026</t>
        </is>
      </c>
      <c r="E800" t="n">
        <v>14</v>
      </c>
      <c r="F800" t="n">
        <v>0</v>
      </c>
      <c r="G800">
        <f>E16437+F16437</f>
        <v/>
      </c>
    </row>
    <row r="801">
      <c r="A801" t="inlineStr">
        <is>
          <t>37345867</t>
        </is>
      </c>
      <c r="B801" t="inlineStr">
        <is>
          <t>PRODUCTO D7B48F</t>
        </is>
      </c>
      <c r="C801" t="inlineStr">
        <is>
          <t>Jockey Plaza</t>
        </is>
      </c>
      <c r="D801" t="inlineStr">
        <is>
          <t>30/08/2026</t>
        </is>
      </c>
      <c r="E801" t="n">
        <v>16</v>
      </c>
      <c r="F801" t="n">
        <v>0</v>
      </c>
      <c r="G801">
        <f>E16618+F16618</f>
        <v/>
      </c>
    </row>
    <row r="802">
      <c r="A802" t="inlineStr">
        <is>
          <t>37345867</t>
        </is>
      </c>
      <c r="B802" t="inlineStr">
        <is>
          <t>PRODUCTO D7B48F</t>
        </is>
      </c>
      <c r="C802" t="inlineStr">
        <is>
          <t>San Miguel</t>
        </is>
      </c>
      <c r="D802" t="inlineStr">
        <is>
          <t>30/08/2026</t>
        </is>
      </c>
      <c r="E802" t="n">
        <v>15</v>
      </c>
      <c r="F802" t="n">
        <v>0</v>
      </c>
      <c r="G802">
        <f>E16619+F16619</f>
        <v/>
      </c>
    </row>
    <row r="803">
      <c r="A803" t="inlineStr">
        <is>
          <t>37345867</t>
        </is>
      </c>
      <c r="B803" t="inlineStr">
        <is>
          <t>PRODUCTO D7B48F</t>
        </is>
      </c>
      <c r="C803" t="inlineStr">
        <is>
          <t>Miraflores</t>
        </is>
      </c>
      <c r="D803" t="inlineStr">
        <is>
          <t>30/08/2026</t>
        </is>
      </c>
      <c r="E803" t="n">
        <v>12</v>
      </c>
      <c r="F803" t="n">
        <v>0</v>
      </c>
      <c r="G803">
        <f>E16620+F16620</f>
        <v/>
      </c>
    </row>
    <row r="804">
      <c r="A804" t="inlineStr">
        <is>
          <t>37345867</t>
        </is>
      </c>
      <c r="B804" t="inlineStr">
        <is>
          <t>PRODUCTO D7B48F</t>
        </is>
      </c>
      <c r="C804" t="inlineStr">
        <is>
          <t>Salaverry</t>
        </is>
      </c>
      <c r="D804" t="inlineStr">
        <is>
          <t>30/08/2026</t>
        </is>
      </c>
      <c r="E804" t="n">
        <v>13</v>
      </c>
      <c r="F804" t="n">
        <v>0</v>
      </c>
      <c r="G804">
        <f>E16625+F16625</f>
        <v/>
      </c>
    </row>
    <row r="805">
      <c r="A805" t="inlineStr">
        <is>
          <t>37345867</t>
        </is>
      </c>
      <c r="B805" t="inlineStr">
        <is>
          <t>PRODUCTO D7B48F</t>
        </is>
      </c>
      <c r="C805" t="inlineStr">
        <is>
          <t>San Borja</t>
        </is>
      </c>
      <c r="D805" t="inlineStr">
        <is>
          <t>30/08/2026</t>
        </is>
      </c>
      <c r="E805" t="n">
        <v>16</v>
      </c>
      <c r="F805" t="n">
        <v>0</v>
      </c>
      <c r="G805">
        <f>E16626+F16626</f>
        <v/>
      </c>
    </row>
    <row r="806">
      <c r="A806" t="inlineStr">
        <is>
          <t>37345878</t>
        </is>
      </c>
      <c r="B806" t="inlineStr">
        <is>
          <t>PRODUCTO A380E2</t>
        </is>
      </c>
      <c r="C806" t="inlineStr">
        <is>
          <t>Jockey Plaza</t>
        </is>
      </c>
      <c r="D806" t="inlineStr">
        <is>
          <t>30/08/2026</t>
        </is>
      </c>
      <c r="E806" t="n">
        <v>10</v>
      </c>
      <c r="F806" t="n">
        <v>0</v>
      </c>
      <c r="G806">
        <f>E16631+F16631</f>
        <v/>
      </c>
    </row>
    <row r="807">
      <c r="A807" t="inlineStr">
        <is>
          <t>37345878</t>
        </is>
      </c>
      <c r="B807" t="inlineStr">
        <is>
          <t>PRODUCTO A380E2</t>
        </is>
      </c>
      <c r="C807" t="inlineStr">
        <is>
          <t>San Miguel</t>
        </is>
      </c>
      <c r="D807" t="inlineStr">
        <is>
          <t>30/08/2026</t>
        </is>
      </c>
      <c r="E807" t="n">
        <v>14</v>
      </c>
      <c r="F807" t="n">
        <v>0</v>
      </c>
      <c r="G807">
        <f>E16632+F16632</f>
        <v/>
      </c>
    </row>
    <row r="808">
      <c r="A808" t="inlineStr">
        <is>
          <t>37345878</t>
        </is>
      </c>
      <c r="B808" t="inlineStr">
        <is>
          <t>PRODUCTO A380E2</t>
        </is>
      </c>
      <c r="C808" t="inlineStr">
        <is>
          <t>Miraflores</t>
        </is>
      </c>
      <c r="D808" t="inlineStr">
        <is>
          <t>30/08/2026</t>
        </is>
      </c>
      <c r="E808" t="n">
        <v>17</v>
      </c>
      <c r="F808" t="n">
        <v>0</v>
      </c>
      <c r="G808">
        <f>E16633+F16633</f>
        <v/>
      </c>
    </row>
    <row r="809">
      <c r="A809" t="inlineStr">
        <is>
          <t>37345878</t>
        </is>
      </c>
      <c r="B809" t="inlineStr">
        <is>
          <t>PRODUCTO A380E2</t>
        </is>
      </c>
      <c r="C809" t="inlineStr">
        <is>
          <t>Salaverry</t>
        </is>
      </c>
      <c r="D809" t="inlineStr">
        <is>
          <t>30/08/2026</t>
        </is>
      </c>
      <c r="E809" t="n">
        <v>13</v>
      </c>
      <c r="F809" t="n">
        <v>0</v>
      </c>
      <c r="G809">
        <f>E16638+F16638</f>
        <v/>
      </c>
    </row>
    <row r="810">
      <c r="A810" t="inlineStr">
        <is>
          <t>37345878</t>
        </is>
      </c>
      <c r="B810" t="inlineStr">
        <is>
          <t>PRODUCTO A380E2</t>
        </is>
      </c>
      <c r="C810" t="inlineStr">
        <is>
          <t>San Borja</t>
        </is>
      </c>
      <c r="D810" t="inlineStr">
        <is>
          <t>30/08/2026</t>
        </is>
      </c>
      <c r="E810" t="n">
        <v>13</v>
      </c>
      <c r="F810" t="n">
        <v>0</v>
      </c>
      <c r="G810">
        <f>E16639+F16639</f>
        <v/>
      </c>
    </row>
    <row r="811">
      <c r="A811" t="inlineStr">
        <is>
          <t>37400985</t>
        </is>
      </c>
      <c r="B811" t="inlineStr">
        <is>
          <t>PRODUCTO 2E9207</t>
        </is>
      </c>
      <c r="C811" t="inlineStr">
        <is>
          <t>Jockey Plaza</t>
        </is>
      </c>
      <c r="D811" t="inlineStr">
        <is>
          <t>30/08/2026</t>
        </is>
      </c>
      <c r="E811" t="n">
        <v>12</v>
      </c>
      <c r="F811" t="n">
        <v>0</v>
      </c>
      <c r="G811">
        <f>E16876+F16876</f>
        <v/>
      </c>
    </row>
    <row r="812">
      <c r="A812" t="inlineStr">
        <is>
          <t>37400985</t>
        </is>
      </c>
      <c r="B812" t="inlineStr">
        <is>
          <t>PRODUCTO 2E9207</t>
        </is>
      </c>
      <c r="C812" t="inlineStr">
        <is>
          <t>San Miguel</t>
        </is>
      </c>
      <c r="D812" t="inlineStr">
        <is>
          <t>30/08/2026</t>
        </is>
      </c>
      <c r="E812" t="n">
        <v>6</v>
      </c>
      <c r="F812" t="n">
        <v>0</v>
      </c>
      <c r="G812">
        <f>E16877+F16877</f>
        <v/>
      </c>
    </row>
    <row r="813">
      <c r="A813" t="inlineStr">
        <is>
          <t>37400985</t>
        </is>
      </c>
      <c r="B813" t="inlineStr">
        <is>
          <t>PRODUCTO 2E9207</t>
        </is>
      </c>
      <c r="C813" t="inlineStr">
        <is>
          <t>Miraflores</t>
        </is>
      </c>
      <c r="D813" t="inlineStr">
        <is>
          <t>30/08/2026</t>
        </is>
      </c>
      <c r="E813" t="n">
        <v>6</v>
      </c>
      <c r="F813" t="n">
        <v>0</v>
      </c>
      <c r="G813">
        <f>E16878+F16878</f>
        <v/>
      </c>
    </row>
    <row r="814">
      <c r="A814" t="inlineStr">
        <is>
          <t>37400985</t>
        </is>
      </c>
      <c r="B814" t="inlineStr">
        <is>
          <t>PRODUCTO 2E9207</t>
        </is>
      </c>
      <c r="C814" t="inlineStr">
        <is>
          <t>Salaverry</t>
        </is>
      </c>
      <c r="D814" t="inlineStr">
        <is>
          <t>30/08/2026</t>
        </is>
      </c>
      <c r="E814" t="n">
        <v>6</v>
      </c>
      <c r="F814" t="n">
        <v>0</v>
      </c>
      <c r="G814">
        <f>E16882+F16882</f>
        <v/>
      </c>
    </row>
    <row r="815">
      <c r="A815" t="inlineStr">
        <is>
          <t>37400985</t>
        </is>
      </c>
      <c r="B815" t="inlineStr">
        <is>
          <t>PRODUCTO 2E9207</t>
        </is>
      </c>
      <c r="C815" t="inlineStr">
        <is>
          <t>San Borja</t>
        </is>
      </c>
      <c r="D815" t="inlineStr">
        <is>
          <t>30/08/2026</t>
        </is>
      </c>
      <c r="E815" t="n">
        <v>6</v>
      </c>
      <c r="F815" t="n">
        <v>0</v>
      </c>
      <c r="G815">
        <f>E16883+F16883</f>
        <v/>
      </c>
    </row>
    <row r="816">
      <c r="A816" t="inlineStr">
        <is>
          <t>37400985</t>
        </is>
      </c>
      <c r="B816" t="inlineStr">
        <is>
          <t>PRODUCTO 2E9207</t>
        </is>
      </c>
      <c r="C816" t="inlineStr">
        <is>
          <t>Piura</t>
        </is>
      </c>
      <c r="D816" t="inlineStr">
        <is>
          <t>30/08/2026</t>
        </is>
      </c>
      <c r="E816" t="n">
        <v>6</v>
      </c>
      <c r="F816" t="n">
        <v>0</v>
      </c>
      <c r="G816">
        <f>E16885+F16885</f>
        <v/>
      </c>
    </row>
    <row r="817">
      <c r="A817" t="inlineStr">
        <is>
          <t>37401031</t>
        </is>
      </c>
      <c r="B817" t="inlineStr">
        <is>
          <t>PRODUCTO 9D7497</t>
        </is>
      </c>
      <c r="C817" t="inlineStr">
        <is>
          <t>Jockey Plaza</t>
        </is>
      </c>
      <c r="D817" t="inlineStr">
        <is>
          <t>30/08/2026</t>
        </is>
      </c>
      <c r="E817" t="n">
        <v>10</v>
      </c>
      <c r="F817" t="n">
        <v>0</v>
      </c>
      <c r="G817">
        <f>E16989+F16989</f>
        <v/>
      </c>
    </row>
    <row r="818">
      <c r="A818" t="inlineStr">
        <is>
          <t>37401031</t>
        </is>
      </c>
      <c r="B818" t="inlineStr">
        <is>
          <t>PRODUCTO 9D7497</t>
        </is>
      </c>
      <c r="C818" t="inlineStr">
        <is>
          <t>San Miguel</t>
        </is>
      </c>
      <c r="D818" t="inlineStr">
        <is>
          <t>30/08/2026</t>
        </is>
      </c>
      <c r="E818" t="n">
        <v>6</v>
      </c>
      <c r="F818" t="n">
        <v>0</v>
      </c>
      <c r="G818">
        <f>E16990+F16990</f>
        <v/>
      </c>
    </row>
    <row r="819">
      <c r="A819" t="inlineStr">
        <is>
          <t>37401031</t>
        </is>
      </c>
      <c r="B819" t="inlineStr">
        <is>
          <t>PRODUCTO 9D7497</t>
        </is>
      </c>
      <c r="C819" t="inlineStr">
        <is>
          <t>Miraflores</t>
        </is>
      </c>
      <c r="D819" t="inlineStr">
        <is>
          <t>30/08/2026</t>
        </is>
      </c>
      <c r="E819" t="n">
        <v>6</v>
      </c>
      <c r="F819" t="n">
        <v>0</v>
      </c>
      <c r="G819">
        <f>E16991+F16991</f>
        <v/>
      </c>
    </row>
    <row r="820">
      <c r="A820" t="inlineStr">
        <is>
          <t>37401031</t>
        </is>
      </c>
      <c r="B820" t="inlineStr">
        <is>
          <t>PRODUCTO 9D7497</t>
        </is>
      </c>
      <c r="C820" t="inlineStr">
        <is>
          <t>Salaverry</t>
        </is>
      </c>
      <c r="D820" t="inlineStr">
        <is>
          <t>30/08/2026</t>
        </is>
      </c>
      <c r="E820" t="n">
        <v>6</v>
      </c>
      <c r="F820" t="n">
        <v>0</v>
      </c>
      <c r="G820">
        <f>E16995+F16995</f>
        <v/>
      </c>
    </row>
    <row r="821">
      <c r="A821" t="inlineStr">
        <is>
          <t>37401031</t>
        </is>
      </c>
      <c r="B821" t="inlineStr">
        <is>
          <t>PRODUCTO 9D7497</t>
        </is>
      </c>
      <c r="C821" t="inlineStr">
        <is>
          <t>San Borja</t>
        </is>
      </c>
      <c r="D821" t="inlineStr">
        <is>
          <t>30/08/2026</t>
        </is>
      </c>
      <c r="E821" t="n">
        <v>6</v>
      </c>
      <c r="F821" t="n">
        <v>0</v>
      </c>
      <c r="G821">
        <f>E16996+F16996</f>
        <v/>
      </c>
    </row>
    <row r="822">
      <c r="A822" t="inlineStr">
        <is>
          <t>37401031</t>
        </is>
      </c>
      <c r="B822" t="inlineStr">
        <is>
          <t>PRODUCTO 9D7497</t>
        </is>
      </c>
      <c r="C822" t="inlineStr">
        <is>
          <t>Piura</t>
        </is>
      </c>
      <c r="D822" t="inlineStr">
        <is>
          <t>30/08/2026</t>
        </is>
      </c>
      <c r="E822" t="n">
        <v>4</v>
      </c>
      <c r="F822" t="n">
        <v>0</v>
      </c>
      <c r="G822">
        <f>E16998+F16998</f>
        <v/>
      </c>
    </row>
    <row r="823">
      <c r="A823" t="inlineStr">
        <is>
          <t>37404121</t>
        </is>
      </c>
      <c r="B823" t="inlineStr">
        <is>
          <t>PRODUCTO 0FEE04</t>
        </is>
      </c>
      <c r="C823" t="inlineStr">
        <is>
          <t>Jockey Plaza</t>
        </is>
      </c>
      <c r="D823" t="inlineStr">
        <is>
          <t>30/08/2026</t>
        </is>
      </c>
      <c r="E823" t="n">
        <v>12</v>
      </c>
      <c r="F823" t="n">
        <v>0</v>
      </c>
      <c r="G823">
        <f>E17097+F17097</f>
        <v/>
      </c>
    </row>
    <row r="824">
      <c r="A824" t="inlineStr">
        <is>
          <t>37404121</t>
        </is>
      </c>
      <c r="B824" t="inlineStr">
        <is>
          <t>PRODUCTO 0FEE04</t>
        </is>
      </c>
      <c r="C824" t="inlineStr">
        <is>
          <t>San Miguel</t>
        </is>
      </c>
      <c r="D824" t="inlineStr">
        <is>
          <t>30/08/2026</t>
        </is>
      </c>
      <c r="E824" t="n">
        <v>12</v>
      </c>
      <c r="F824" t="n">
        <v>0</v>
      </c>
      <c r="G824">
        <f>E17098+F17098</f>
        <v/>
      </c>
    </row>
    <row r="825">
      <c r="A825" t="inlineStr">
        <is>
          <t>37404121</t>
        </is>
      </c>
      <c r="B825" t="inlineStr">
        <is>
          <t>PRODUCTO 0FEE04</t>
        </is>
      </c>
      <c r="C825" t="inlineStr">
        <is>
          <t>Miraflores</t>
        </is>
      </c>
      <c r="D825" t="inlineStr">
        <is>
          <t>30/08/2026</t>
        </is>
      </c>
      <c r="E825" t="n">
        <v>6</v>
      </c>
      <c r="F825" t="n">
        <v>0</v>
      </c>
      <c r="G825">
        <f>E17099+F17099</f>
        <v/>
      </c>
    </row>
    <row r="826">
      <c r="A826" t="inlineStr">
        <is>
          <t>37404121</t>
        </is>
      </c>
      <c r="B826" t="inlineStr">
        <is>
          <t>PRODUCTO 0FEE04</t>
        </is>
      </c>
      <c r="C826" t="inlineStr">
        <is>
          <t>Salaverry</t>
        </is>
      </c>
      <c r="D826" t="inlineStr">
        <is>
          <t>30/08/2026</t>
        </is>
      </c>
      <c r="E826" t="n">
        <v>12</v>
      </c>
      <c r="F826" t="n">
        <v>0</v>
      </c>
      <c r="G826">
        <f>E17103+F17103</f>
        <v/>
      </c>
    </row>
    <row r="827">
      <c r="A827" t="inlineStr">
        <is>
          <t>37404121</t>
        </is>
      </c>
      <c r="B827" t="inlineStr">
        <is>
          <t>PRODUCTO 0FEE04</t>
        </is>
      </c>
      <c r="C827" t="inlineStr">
        <is>
          <t>San Borja</t>
        </is>
      </c>
      <c r="D827" t="inlineStr">
        <is>
          <t>30/08/2026</t>
        </is>
      </c>
      <c r="E827" t="n">
        <v>4</v>
      </c>
      <c r="F827" t="n">
        <v>0</v>
      </c>
      <c r="G827">
        <f>E17104+F17104</f>
        <v/>
      </c>
    </row>
    <row r="828">
      <c r="A828" t="inlineStr">
        <is>
          <t>37404121</t>
        </is>
      </c>
      <c r="B828" t="inlineStr">
        <is>
          <t>PRODUCTO 0FEE04</t>
        </is>
      </c>
      <c r="C828" t="inlineStr">
        <is>
          <t>Piura</t>
        </is>
      </c>
      <c r="D828" t="inlineStr">
        <is>
          <t>30/08/2026</t>
        </is>
      </c>
      <c r="E828" t="n">
        <v>10</v>
      </c>
      <c r="F828" t="n">
        <v>0</v>
      </c>
      <c r="G828">
        <f>E17106+F17106</f>
        <v/>
      </c>
    </row>
    <row r="829">
      <c r="A829" t="inlineStr">
        <is>
          <t>37404126</t>
        </is>
      </c>
      <c r="B829" t="inlineStr">
        <is>
          <t>PRODUCTO 26FE6D</t>
        </is>
      </c>
      <c r="C829" t="inlineStr">
        <is>
          <t>Jockey Plaza</t>
        </is>
      </c>
      <c r="D829" t="inlineStr">
        <is>
          <t>30/08/2026</t>
        </is>
      </c>
      <c r="E829" t="n">
        <v>12</v>
      </c>
      <c r="F829" t="n">
        <v>0</v>
      </c>
      <c r="G829">
        <f>E17111+F17111</f>
        <v/>
      </c>
    </row>
    <row r="830">
      <c r="A830" t="inlineStr">
        <is>
          <t>37404126</t>
        </is>
      </c>
      <c r="B830" t="inlineStr">
        <is>
          <t>PRODUCTO 26FE6D</t>
        </is>
      </c>
      <c r="C830" t="inlineStr">
        <is>
          <t>San Miguel</t>
        </is>
      </c>
      <c r="D830" t="inlineStr">
        <is>
          <t>30/08/2026</t>
        </is>
      </c>
      <c r="E830" t="n">
        <v>12</v>
      </c>
      <c r="F830" t="n">
        <v>0</v>
      </c>
      <c r="G830">
        <f>E17112+F17112</f>
        <v/>
      </c>
    </row>
    <row r="831">
      <c r="A831" t="inlineStr">
        <is>
          <t>37404126</t>
        </is>
      </c>
      <c r="B831" t="inlineStr">
        <is>
          <t>PRODUCTO 26FE6D</t>
        </is>
      </c>
      <c r="C831" t="inlineStr">
        <is>
          <t>Miraflores</t>
        </is>
      </c>
      <c r="D831" t="inlineStr">
        <is>
          <t>30/08/2026</t>
        </is>
      </c>
      <c r="E831" t="n">
        <v>6</v>
      </c>
      <c r="F831" t="n">
        <v>0</v>
      </c>
      <c r="G831">
        <f>E17113+F17113</f>
        <v/>
      </c>
    </row>
    <row r="832">
      <c r="A832" t="inlineStr">
        <is>
          <t>37404126</t>
        </is>
      </c>
      <c r="B832" t="inlineStr">
        <is>
          <t>PRODUCTO 26FE6D</t>
        </is>
      </c>
      <c r="C832" t="inlineStr">
        <is>
          <t>Salaverry</t>
        </is>
      </c>
      <c r="D832" t="inlineStr">
        <is>
          <t>30/08/2026</t>
        </is>
      </c>
      <c r="E832" t="n">
        <v>12</v>
      </c>
      <c r="F832" t="n">
        <v>0</v>
      </c>
      <c r="G832">
        <f>E17117+F17117</f>
        <v/>
      </c>
    </row>
    <row r="833">
      <c r="A833" t="inlineStr">
        <is>
          <t>37404126</t>
        </is>
      </c>
      <c r="B833" t="inlineStr">
        <is>
          <t>PRODUCTO 26FE6D</t>
        </is>
      </c>
      <c r="C833" t="inlineStr">
        <is>
          <t>San Borja</t>
        </is>
      </c>
      <c r="D833" t="inlineStr">
        <is>
          <t>30/08/2026</t>
        </is>
      </c>
      <c r="E833" t="n">
        <v>6</v>
      </c>
      <c r="F833" t="n">
        <v>0</v>
      </c>
      <c r="G833">
        <f>E17118+F17118</f>
        <v/>
      </c>
    </row>
    <row r="834">
      <c r="A834" t="inlineStr">
        <is>
          <t>37404126</t>
        </is>
      </c>
      <c r="B834" t="inlineStr">
        <is>
          <t>PRODUCTO 26FE6D</t>
        </is>
      </c>
      <c r="C834" t="inlineStr">
        <is>
          <t>Piura</t>
        </is>
      </c>
      <c r="D834" t="inlineStr">
        <is>
          <t>30/08/2026</t>
        </is>
      </c>
      <c r="E834" t="n">
        <v>6</v>
      </c>
      <c r="F834" t="n">
        <v>0</v>
      </c>
      <c r="G834">
        <f>E17120+F17120</f>
        <v/>
      </c>
    </row>
    <row r="835">
      <c r="A835" t="inlineStr">
        <is>
          <t>37404141</t>
        </is>
      </c>
      <c r="B835" t="inlineStr">
        <is>
          <t>PRODUCTO 42027C</t>
        </is>
      </c>
      <c r="C835" t="inlineStr">
        <is>
          <t>Jockey Plaza</t>
        </is>
      </c>
      <c r="D835" t="inlineStr">
        <is>
          <t>30/08/2026</t>
        </is>
      </c>
      <c r="E835" t="n">
        <v>11</v>
      </c>
      <c r="F835" t="n">
        <v>0</v>
      </c>
      <c r="G835">
        <f>E17153+F17153</f>
        <v/>
      </c>
    </row>
    <row r="836">
      <c r="A836" t="inlineStr">
        <is>
          <t>37404141</t>
        </is>
      </c>
      <c r="B836" t="inlineStr">
        <is>
          <t>PRODUCTO 42027C</t>
        </is>
      </c>
      <c r="C836" t="inlineStr">
        <is>
          <t>San Miguel</t>
        </is>
      </c>
      <c r="D836" t="inlineStr">
        <is>
          <t>30/08/2026</t>
        </is>
      </c>
      <c r="E836" t="n">
        <v>12</v>
      </c>
      <c r="F836" t="n">
        <v>0</v>
      </c>
      <c r="G836">
        <f>E17154+F17154</f>
        <v/>
      </c>
    </row>
    <row r="837">
      <c r="A837" t="inlineStr">
        <is>
          <t>37404141</t>
        </is>
      </c>
      <c r="B837" t="inlineStr">
        <is>
          <t>PRODUCTO 42027C</t>
        </is>
      </c>
      <c r="C837" t="inlineStr">
        <is>
          <t>Miraflores</t>
        </is>
      </c>
      <c r="D837" t="inlineStr">
        <is>
          <t>30/08/2026</t>
        </is>
      </c>
      <c r="E837" t="n">
        <v>6</v>
      </c>
      <c r="F837" t="n">
        <v>0</v>
      </c>
      <c r="G837">
        <f>E17155+F17155</f>
        <v/>
      </c>
    </row>
    <row r="838">
      <c r="A838" t="inlineStr">
        <is>
          <t>37404141</t>
        </is>
      </c>
      <c r="B838" t="inlineStr">
        <is>
          <t>PRODUCTO 42027C</t>
        </is>
      </c>
      <c r="C838" t="inlineStr">
        <is>
          <t>Salaverry</t>
        </is>
      </c>
      <c r="D838" t="inlineStr">
        <is>
          <t>30/08/2026</t>
        </is>
      </c>
      <c r="E838" t="n">
        <v>12</v>
      </c>
      <c r="F838" t="n">
        <v>0</v>
      </c>
      <c r="G838">
        <f>E17159+F17159</f>
        <v/>
      </c>
    </row>
    <row r="839">
      <c r="A839" t="inlineStr">
        <is>
          <t>37404141</t>
        </is>
      </c>
      <c r="B839" t="inlineStr">
        <is>
          <t>PRODUCTO 42027C</t>
        </is>
      </c>
      <c r="C839" t="inlineStr">
        <is>
          <t>San Borja</t>
        </is>
      </c>
      <c r="D839" t="inlineStr">
        <is>
          <t>30/08/2026</t>
        </is>
      </c>
      <c r="E839" t="n">
        <v>6</v>
      </c>
      <c r="F839" t="n">
        <v>0</v>
      </c>
      <c r="G839">
        <f>E17160+F17160</f>
        <v/>
      </c>
    </row>
    <row r="840">
      <c r="A840" t="inlineStr">
        <is>
          <t>37404141</t>
        </is>
      </c>
      <c r="B840" t="inlineStr">
        <is>
          <t>PRODUCTO 42027C</t>
        </is>
      </c>
      <c r="C840" t="inlineStr">
        <is>
          <t>Piura</t>
        </is>
      </c>
      <c r="D840" t="inlineStr">
        <is>
          <t>30/08/2026</t>
        </is>
      </c>
      <c r="E840" t="n">
        <v>6</v>
      </c>
      <c r="F840" t="n">
        <v>0</v>
      </c>
      <c r="G840">
        <f>E17162+F17162</f>
        <v/>
      </c>
    </row>
    <row r="841">
      <c r="A841" t="inlineStr">
        <is>
          <t>37404166</t>
        </is>
      </c>
      <c r="B841" t="inlineStr">
        <is>
          <t>PRODUCTO B630FD</t>
        </is>
      </c>
      <c r="C841" t="inlineStr">
        <is>
          <t>Jockey Plaza</t>
        </is>
      </c>
      <c r="D841" t="inlineStr">
        <is>
          <t>30/08/2026</t>
        </is>
      </c>
      <c r="E841" t="n">
        <v>11</v>
      </c>
      <c r="F841" t="n">
        <v>0</v>
      </c>
      <c r="G841">
        <f>E17222+F17222</f>
        <v/>
      </c>
    </row>
    <row r="842">
      <c r="A842" t="inlineStr">
        <is>
          <t>37404166</t>
        </is>
      </c>
      <c r="B842" t="inlineStr">
        <is>
          <t>PRODUCTO B630FD</t>
        </is>
      </c>
      <c r="C842" t="inlineStr">
        <is>
          <t>San Miguel</t>
        </is>
      </c>
      <c r="D842" t="inlineStr">
        <is>
          <t>30/08/2026</t>
        </is>
      </c>
      <c r="E842" t="n">
        <v>12</v>
      </c>
      <c r="F842" t="n">
        <v>0</v>
      </c>
      <c r="G842">
        <f>E17223+F17223</f>
        <v/>
      </c>
    </row>
    <row r="843">
      <c r="A843" t="inlineStr">
        <is>
          <t>37404166</t>
        </is>
      </c>
      <c r="B843" t="inlineStr">
        <is>
          <t>PRODUCTO B630FD</t>
        </is>
      </c>
      <c r="C843" t="inlineStr">
        <is>
          <t>Miraflores</t>
        </is>
      </c>
      <c r="D843" t="inlineStr">
        <is>
          <t>30/08/2026</t>
        </is>
      </c>
      <c r="E843" t="n">
        <v>12</v>
      </c>
      <c r="F843" t="n">
        <v>0</v>
      </c>
      <c r="G843">
        <f>E17224+F17224</f>
        <v/>
      </c>
    </row>
    <row r="844">
      <c r="A844" t="inlineStr">
        <is>
          <t>37404166</t>
        </is>
      </c>
      <c r="B844" t="inlineStr">
        <is>
          <t>PRODUCTO B630FD</t>
        </is>
      </c>
      <c r="C844" t="inlineStr">
        <is>
          <t>Salaverry</t>
        </is>
      </c>
      <c r="D844" t="inlineStr">
        <is>
          <t>30/08/2026</t>
        </is>
      </c>
      <c r="E844" t="n">
        <v>11</v>
      </c>
      <c r="F844" t="n">
        <v>0</v>
      </c>
      <c r="G844">
        <f>E17228+F17228</f>
        <v/>
      </c>
    </row>
    <row r="845">
      <c r="A845" t="inlineStr">
        <is>
          <t>37404166</t>
        </is>
      </c>
      <c r="B845" t="inlineStr">
        <is>
          <t>PRODUCTO B630FD</t>
        </is>
      </c>
      <c r="C845" t="inlineStr">
        <is>
          <t>San Borja</t>
        </is>
      </c>
      <c r="D845" t="inlineStr">
        <is>
          <t>30/08/2026</t>
        </is>
      </c>
      <c r="E845" t="n">
        <v>12</v>
      </c>
      <c r="F845" t="n">
        <v>0</v>
      </c>
      <c r="G845">
        <f>E17229+F17229</f>
        <v/>
      </c>
    </row>
    <row r="846">
      <c r="A846" t="inlineStr">
        <is>
          <t>37404166</t>
        </is>
      </c>
      <c r="B846" t="inlineStr">
        <is>
          <t>PRODUCTO B630FD</t>
        </is>
      </c>
      <c r="C846" t="inlineStr">
        <is>
          <t>Piura</t>
        </is>
      </c>
      <c r="D846" t="inlineStr">
        <is>
          <t>30/08/2026</t>
        </is>
      </c>
      <c r="E846" t="n">
        <v>12</v>
      </c>
      <c r="F846" t="n">
        <v>0</v>
      </c>
      <c r="G846">
        <f>E17231+F17231</f>
        <v/>
      </c>
    </row>
    <row r="847">
      <c r="A847" t="inlineStr">
        <is>
          <t>37450626</t>
        </is>
      </c>
      <c r="B847" t="inlineStr">
        <is>
          <t>PRODUCTO 4AF2BC</t>
        </is>
      </c>
      <c r="C847" t="inlineStr">
        <is>
          <t>Jockey Plaza</t>
        </is>
      </c>
      <c r="D847" t="inlineStr">
        <is>
          <t>30/08/2026</t>
        </is>
      </c>
      <c r="E847" t="n">
        <v>18</v>
      </c>
      <c r="F847" t="n">
        <v>0</v>
      </c>
      <c r="G847">
        <f>E17348+F17348</f>
        <v/>
      </c>
    </row>
    <row r="848">
      <c r="A848" t="inlineStr">
        <is>
          <t>37450626</t>
        </is>
      </c>
      <c r="B848" t="inlineStr">
        <is>
          <t>PRODUCTO 4AF2BC</t>
        </is>
      </c>
      <c r="C848" t="inlineStr">
        <is>
          <t>Miraflores</t>
        </is>
      </c>
      <c r="D848" t="inlineStr">
        <is>
          <t>30/08/2026</t>
        </is>
      </c>
      <c r="E848" t="n">
        <v>12</v>
      </c>
      <c r="F848" t="n">
        <v>0</v>
      </c>
      <c r="G848">
        <f>E17349+F17349</f>
        <v/>
      </c>
    </row>
    <row r="849">
      <c r="A849" t="inlineStr">
        <is>
          <t>37450626</t>
        </is>
      </c>
      <c r="B849" t="inlineStr">
        <is>
          <t>PRODUCTO 4AF2BC</t>
        </is>
      </c>
      <c r="C849" t="inlineStr">
        <is>
          <t>Salaverry</t>
        </is>
      </c>
      <c r="D849" t="inlineStr">
        <is>
          <t>30/08/2026</t>
        </is>
      </c>
      <c r="E849" t="n">
        <v>12</v>
      </c>
      <c r="F849" t="n">
        <v>0</v>
      </c>
      <c r="G849">
        <f>E17351+F17351</f>
        <v/>
      </c>
    </row>
    <row r="850">
      <c r="A850" t="inlineStr">
        <is>
          <t>37450626</t>
        </is>
      </c>
      <c r="B850" t="inlineStr">
        <is>
          <t>PRODUCTO 4AF2BC</t>
        </is>
      </c>
      <c r="C850" t="inlineStr">
        <is>
          <t>Piura</t>
        </is>
      </c>
      <c r="D850" t="inlineStr">
        <is>
          <t>30/08/2026</t>
        </is>
      </c>
      <c r="E850" t="n">
        <v>18</v>
      </c>
      <c r="F850" t="n">
        <v>0</v>
      </c>
      <c r="G850">
        <f>E17352+F17352</f>
        <v/>
      </c>
    </row>
    <row r="851">
      <c r="A851" t="inlineStr">
        <is>
          <t>37465856</t>
        </is>
      </c>
      <c r="B851" t="inlineStr">
        <is>
          <t>PRODUCTO 4F6D5D</t>
        </is>
      </c>
      <c r="C851" t="inlineStr">
        <is>
          <t>Jockey Plaza</t>
        </is>
      </c>
      <c r="D851" t="inlineStr">
        <is>
          <t>30/08/2026</t>
        </is>
      </c>
      <c r="E851" t="n">
        <v>35</v>
      </c>
      <c r="F851" t="n">
        <v>0</v>
      </c>
      <c r="G851">
        <f>E17482+F17482</f>
        <v/>
      </c>
    </row>
    <row r="852">
      <c r="A852" t="inlineStr">
        <is>
          <t>37465856</t>
        </is>
      </c>
      <c r="B852" t="inlineStr">
        <is>
          <t>PRODUCTO 4F6D5D</t>
        </is>
      </c>
      <c r="C852" t="inlineStr">
        <is>
          <t>San Miguel</t>
        </is>
      </c>
      <c r="D852" t="inlineStr">
        <is>
          <t>30/08/2026</t>
        </is>
      </c>
      <c r="E852" t="n">
        <v>35</v>
      </c>
      <c r="F852" t="n">
        <v>0</v>
      </c>
      <c r="G852">
        <f>E17483+F17483</f>
        <v/>
      </c>
    </row>
    <row r="853">
      <c r="A853" t="inlineStr">
        <is>
          <t>37465856</t>
        </is>
      </c>
      <c r="B853" t="inlineStr">
        <is>
          <t>PRODUCTO 4F6D5D</t>
        </is>
      </c>
      <c r="C853" t="inlineStr">
        <is>
          <t>Miraflores</t>
        </is>
      </c>
      <c r="D853" t="inlineStr">
        <is>
          <t>30/08/2026</t>
        </is>
      </c>
      <c r="E853" t="n">
        <v>24</v>
      </c>
      <c r="F853" t="n">
        <v>0</v>
      </c>
      <c r="G853">
        <f>E17484+F17484</f>
        <v/>
      </c>
    </row>
    <row r="854">
      <c r="A854" t="inlineStr">
        <is>
          <t>37465856</t>
        </is>
      </c>
      <c r="B854" t="inlineStr">
        <is>
          <t>PRODUCTO 4F6D5D</t>
        </is>
      </c>
      <c r="C854" t="inlineStr">
        <is>
          <t>Salaverry</t>
        </is>
      </c>
      <c r="D854" t="inlineStr">
        <is>
          <t>30/08/2026</t>
        </is>
      </c>
      <c r="E854" t="n">
        <v>23</v>
      </c>
      <c r="F854" t="n">
        <v>0</v>
      </c>
      <c r="G854">
        <f>E17488+F17488</f>
        <v/>
      </c>
    </row>
    <row r="855">
      <c r="A855" t="inlineStr">
        <is>
          <t>37465856</t>
        </is>
      </c>
      <c r="B855" t="inlineStr">
        <is>
          <t>PRODUCTO 4F6D5D</t>
        </is>
      </c>
      <c r="C855" t="inlineStr">
        <is>
          <t>San Borja</t>
        </is>
      </c>
      <c r="D855" t="inlineStr">
        <is>
          <t>30/08/2026</t>
        </is>
      </c>
      <c r="E855" t="n">
        <v>24</v>
      </c>
      <c r="F855" t="n">
        <v>0</v>
      </c>
      <c r="G855">
        <f>E17489+F17489</f>
        <v/>
      </c>
    </row>
    <row r="856">
      <c r="A856" t="inlineStr">
        <is>
          <t>37465856</t>
        </is>
      </c>
      <c r="B856" t="inlineStr">
        <is>
          <t>PRODUCTO 4F6D5D</t>
        </is>
      </c>
      <c r="C856" t="inlineStr">
        <is>
          <t>Piura</t>
        </is>
      </c>
      <c r="D856" t="inlineStr">
        <is>
          <t>30/08/2026</t>
        </is>
      </c>
      <c r="E856" t="n">
        <v>22</v>
      </c>
      <c r="F856" t="n">
        <v>0</v>
      </c>
      <c r="G856">
        <f>E17491+F17491</f>
        <v/>
      </c>
    </row>
    <row r="857">
      <c r="A857" t="inlineStr">
        <is>
          <t>37465865</t>
        </is>
      </c>
      <c r="B857" t="inlineStr">
        <is>
          <t>PRODUCTO 2E7E67</t>
        </is>
      </c>
      <c r="C857" t="inlineStr">
        <is>
          <t>Jockey Plaza</t>
        </is>
      </c>
      <c r="D857" t="inlineStr">
        <is>
          <t>30/08/2026</t>
        </is>
      </c>
      <c r="E857" t="n">
        <v>18</v>
      </c>
      <c r="F857" t="n">
        <v>0</v>
      </c>
      <c r="G857">
        <f>E17497+F17497</f>
        <v/>
      </c>
    </row>
    <row r="858">
      <c r="A858" t="inlineStr">
        <is>
          <t>37465865</t>
        </is>
      </c>
      <c r="B858" t="inlineStr">
        <is>
          <t>PRODUCTO 2E7E67</t>
        </is>
      </c>
      <c r="C858" t="inlineStr">
        <is>
          <t>San Miguel</t>
        </is>
      </c>
      <c r="D858" t="inlineStr">
        <is>
          <t>30/08/2026</t>
        </is>
      </c>
      <c r="E858" t="n">
        <v>18</v>
      </c>
      <c r="F858" t="n">
        <v>0</v>
      </c>
      <c r="G858">
        <f>E17498+F17498</f>
        <v/>
      </c>
    </row>
    <row r="859">
      <c r="A859" t="inlineStr">
        <is>
          <t>37465865</t>
        </is>
      </c>
      <c r="B859" t="inlineStr">
        <is>
          <t>PRODUCTO 2E7E67</t>
        </is>
      </c>
      <c r="C859" t="inlineStr">
        <is>
          <t>Miraflores</t>
        </is>
      </c>
      <c r="D859" t="inlineStr">
        <is>
          <t>30/08/2026</t>
        </is>
      </c>
      <c r="E859" t="n">
        <v>12</v>
      </c>
      <c r="F859" t="n">
        <v>0</v>
      </c>
      <c r="G859">
        <f>E17499+F17499</f>
        <v/>
      </c>
    </row>
    <row r="860">
      <c r="A860" t="inlineStr">
        <is>
          <t>37465865</t>
        </is>
      </c>
      <c r="B860" t="inlineStr">
        <is>
          <t>PRODUCTO 2E7E67</t>
        </is>
      </c>
      <c r="C860" t="inlineStr">
        <is>
          <t>Salaverry</t>
        </is>
      </c>
      <c r="D860" t="inlineStr">
        <is>
          <t>30/08/2026</t>
        </is>
      </c>
      <c r="E860" t="n">
        <v>12</v>
      </c>
      <c r="F860" t="n">
        <v>0</v>
      </c>
      <c r="G860">
        <f>E17503+F17503</f>
        <v/>
      </c>
    </row>
    <row r="861">
      <c r="A861" t="inlineStr">
        <is>
          <t>37465865</t>
        </is>
      </c>
      <c r="B861" t="inlineStr">
        <is>
          <t>PRODUCTO 2E7E67</t>
        </is>
      </c>
      <c r="C861" t="inlineStr">
        <is>
          <t>San Borja</t>
        </is>
      </c>
      <c r="D861" t="inlineStr">
        <is>
          <t>30/08/2026</t>
        </is>
      </c>
      <c r="E861" t="n">
        <v>12</v>
      </c>
      <c r="F861" t="n">
        <v>0</v>
      </c>
      <c r="G861">
        <f>E17504+F17504</f>
        <v/>
      </c>
    </row>
    <row r="862">
      <c r="A862" t="inlineStr">
        <is>
          <t>37465865</t>
        </is>
      </c>
      <c r="B862" t="inlineStr">
        <is>
          <t>PRODUCTO 2E7E67</t>
        </is>
      </c>
      <c r="C862" t="inlineStr">
        <is>
          <t>Piura</t>
        </is>
      </c>
      <c r="D862" t="inlineStr">
        <is>
          <t>30/08/2026</t>
        </is>
      </c>
      <c r="E862" t="n">
        <v>12</v>
      </c>
      <c r="F862" t="n">
        <v>0</v>
      </c>
      <c r="G862">
        <f>E17506+F17506</f>
        <v/>
      </c>
    </row>
    <row r="863">
      <c r="A863" t="inlineStr">
        <is>
          <t>37465880</t>
        </is>
      </c>
      <c r="B863" t="inlineStr">
        <is>
          <t>PRODUCTO E6DE05</t>
        </is>
      </c>
      <c r="C863" t="inlineStr">
        <is>
          <t>Jockey Plaza</t>
        </is>
      </c>
      <c r="D863" t="inlineStr">
        <is>
          <t>30/08/2026</t>
        </is>
      </c>
      <c r="E863" t="n">
        <v>17</v>
      </c>
      <c r="F863" t="n">
        <v>0</v>
      </c>
      <c r="G863">
        <f>E17542+F17542</f>
        <v/>
      </c>
    </row>
    <row r="864">
      <c r="A864" t="inlineStr">
        <is>
          <t>37465880</t>
        </is>
      </c>
      <c r="B864" t="inlineStr">
        <is>
          <t>PRODUCTO E6DE05</t>
        </is>
      </c>
      <c r="C864" t="inlineStr">
        <is>
          <t>San Miguel</t>
        </is>
      </c>
      <c r="D864" t="inlineStr">
        <is>
          <t>30/08/2026</t>
        </is>
      </c>
      <c r="E864" t="n">
        <v>18</v>
      </c>
      <c r="F864" t="n">
        <v>0</v>
      </c>
      <c r="G864">
        <f>E17543+F17543</f>
        <v/>
      </c>
    </row>
    <row r="865">
      <c r="A865" t="inlineStr">
        <is>
          <t>37465880</t>
        </is>
      </c>
      <c r="B865" t="inlineStr">
        <is>
          <t>PRODUCTO E6DE05</t>
        </is>
      </c>
      <c r="C865" t="inlineStr">
        <is>
          <t>Miraflores</t>
        </is>
      </c>
      <c r="D865" t="inlineStr">
        <is>
          <t>30/08/2026</t>
        </is>
      </c>
      <c r="E865" t="n">
        <v>12</v>
      </c>
      <c r="F865" t="n">
        <v>0</v>
      </c>
      <c r="G865">
        <f>E17544+F17544</f>
        <v/>
      </c>
    </row>
    <row r="866">
      <c r="A866" t="inlineStr">
        <is>
          <t>37465880</t>
        </is>
      </c>
      <c r="B866" t="inlineStr">
        <is>
          <t>PRODUCTO E6DE05</t>
        </is>
      </c>
      <c r="C866" t="inlineStr">
        <is>
          <t>Salaverry</t>
        </is>
      </c>
      <c r="D866" t="inlineStr">
        <is>
          <t>30/08/2026</t>
        </is>
      </c>
      <c r="E866" t="n">
        <v>12</v>
      </c>
      <c r="F866" t="n">
        <v>0</v>
      </c>
      <c r="G866">
        <f>E17548+F17548</f>
        <v/>
      </c>
    </row>
    <row r="867">
      <c r="A867" t="inlineStr">
        <is>
          <t>37465880</t>
        </is>
      </c>
      <c r="B867" t="inlineStr">
        <is>
          <t>PRODUCTO E6DE05</t>
        </is>
      </c>
      <c r="C867" t="inlineStr">
        <is>
          <t>San Borja</t>
        </is>
      </c>
      <c r="D867" t="inlineStr">
        <is>
          <t>30/08/2026</t>
        </is>
      </c>
      <c r="E867" t="n">
        <v>12</v>
      </c>
      <c r="F867" t="n">
        <v>0</v>
      </c>
      <c r="G867">
        <f>E17549+F17549</f>
        <v/>
      </c>
    </row>
    <row r="868">
      <c r="A868" t="inlineStr">
        <is>
          <t>37465880</t>
        </is>
      </c>
      <c r="B868" t="inlineStr">
        <is>
          <t>PRODUCTO E6DE05</t>
        </is>
      </c>
      <c r="C868" t="inlineStr">
        <is>
          <t>Piura</t>
        </is>
      </c>
      <c r="D868" t="inlineStr">
        <is>
          <t>30/08/2026</t>
        </is>
      </c>
      <c r="E868" t="n">
        <v>12</v>
      </c>
      <c r="F868" t="n">
        <v>0</v>
      </c>
      <c r="G868">
        <f>E17551+F17551</f>
        <v/>
      </c>
    </row>
    <row r="869">
      <c r="A869" t="inlineStr">
        <is>
          <t>37466830</t>
        </is>
      </c>
      <c r="B869" t="inlineStr">
        <is>
          <t>PRODUCTO 81BE72</t>
        </is>
      </c>
      <c r="C869" t="inlineStr">
        <is>
          <t>Jockey Plaza</t>
        </is>
      </c>
      <c r="D869" t="inlineStr">
        <is>
          <t>30/08/2026</t>
        </is>
      </c>
      <c r="E869" t="n">
        <v>12</v>
      </c>
      <c r="F869" t="n">
        <v>0</v>
      </c>
      <c r="G869">
        <f>E17689+F17689</f>
        <v/>
      </c>
    </row>
    <row r="870">
      <c r="A870" t="inlineStr">
        <is>
          <t>37466830</t>
        </is>
      </c>
      <c r="B870" t="inlineStr">
        <is>
          <t>PRODUCTO 81BE72</t>
        </is>
      </c>
      <c r="C870" t="inlineStr">
        <is>
          <t>San Miguel</t>
        </is>
      </c>
      <c r="D870" t="inlineStr">
        <is>
          <t>30/08/2026</t>
        </is>
      </c>
      <c r="E870" t="n">
        <v>12</v>
      </c>
      <c r="F870" t="n">
        <v>0</v>
      </c>
      <c r="G870">
        <f>E17690+F17690</f>
        <v/>
      </c>
    </row>
    <row r="871">
      <c r="A871" t="inlineStr">
        <is>
          <t>37466830</t>
        </is>
      </c>
      <c r="B871" t="inlineStr">
        <is>
          <t>PRODUCTO 81BE72</t>
        </is>
      </c>
      <c r="C871" t="inlineStr">
        <is>
          <t>Miraflores</t>
        </is>
      </c>
      <c r="D871" t="inlineStr">
        <is>
          <t>30/08/2026</t>
        </is>
      </c>
      <c r="E871" t="n">
        <v>12</v>
      </c>
      <c r="F871" t="n">
        <v>0</v>
      </c>
      <c r="G871">
        <f>E17691+F17691</f>
        <v/>
      </c>
    </row>
    <row r="872">
      <c r="A872" t="inlineStr">
        <is>
          <t>37466830</t>
        </is>
      </c>
      <c r="B872" t="inlineStr">
        <is>
          <t>PRODUCTO 81BE72</t>
        </is>
      </c>
      <c r="C872" t="inlineStr">
        <is>
          <t>Salaverry</t>
        </is>
      </c>
      <c r="D872" t="inlineStr">
        <is>
          <t>30/08/2026</t>
        </is>
      </c>
      <c r="E872" t="n">
        <v>11</v>
      </c>
      <c r="F872" t="n">
        <v>0</v>
      </c>
      <c r="G872">
        <f>E17695+F17695</f>
        <v/>
      </c>
    </row>
    <row r="873">
      <c r="A873" t="inlineStr">
        <is>
          <t>37466830</t>
        </is>
      </c>
      <c r="B873" t="inlineStr">
        <is>
          <t>PRODUCTO 81BE72</t>
        </is>
      </c>
      <c r="C873" t="inlineStr">
        <is>
          <t>San Borja</t>
        </is>
      </c>
      <c r="D873" t="inlineStr">
        <is>
          <t>30/08/2026</t>
        </is>
      </c>
      <c r="E873" t="n">
        <v>12</v>
      </c>
      <c r="F873" t="n">
        <v>0</v>
      </c>
      <c r="G873">
        <f>E17696+F17696</f>
        <v/>
      </c>
    </row>
    <row r="874">
      <c r="A874" t="inlineStr">
        <is>
          <t>37466830</t>
        </is>
      </c>
      <c r="B874" t="inlineStr">
        <is>
          <t>PRODUCTO 81BE72</t>
        </is>
      </c>
      <c r="C874" t="inlineStr">
        <is>
          <t>Piura</t>
        </is>
      </c>
      <c r="D874" t="inlineStr">
        <is>
          <t>30/08/2026</t>
        </is>
      </c>
      <c r="E874" t="n">
        <v>10</v>
      </c>
      <c r="F874" t="n">
        <v>2</v>
      </c>
      <c r="G874">
        <f>E17698+F17698</f>
        <v/>
      </c>
    </row>
    <row r="875">
      <c r="A875" t="inlineStr">
        <is>
          <t>37550152</t>
        </is>
      </c>
      <c r="B875" t="inlineStr">
        <is>
          <t>PRODUCTO 31F5A9</t>
        </is>
      </c>
      <c r="C875" t="inlineStr">
        <is>
          <t>Jockey Plaza</t>
        </is>
      </c>
      <c r="D875" t="inlineStr">
        <is>
          <t>30/08/2026</t>
        </is>
      </c>
      <c r="E875" t="n">
        <v>24</v>
      </c>
      <c r="F875" t="n">
        <v>0</v>
      </c>
      <c r="G875">
        <f>E17812+F17812</f>
        <v/>
      </c>
    </row>
    <row r="876">
      <c r="A876" t="inlineStr">
        <is>
          <t>37550152</t>
        </is>
      </c>
      <c r="B876" t="inlineStr">
        <is>
          <t>PRODUCTO 31F5A9</t>
        </is>
      </c>
      <c r="C876" t="inlineStr">
        <is>
          <t>San Miguel</t>
        </is>
      </c>
      <c r="D876" t="inlineStr">
        <is>
          <t>30/08/2026</t>
        </is>
      </c>
      <c r="E876" t="n">
        <v>24</v>
      </c>
      <c r="F876" t="n">
        <v>0</v>
      </c>
      <c r="G876">
        <f>E17813+F17813</f>
        <v/>
      </c>
    </row>
    <row r="877">
      <c r="A877" t="inlineStr">
        <is>
          <t>37550152</t>
        </is>
      </c>
      <c r="B877" t="inlineStr">
        <is>
          <t>PRODUCTO 31F5A9</t>
        </is>
      </c>
      <c r="C877" t="inlineStr">
        <is>
          <t>Miraflores</t>
        </is>
      </c>
      <c r="D877" t="inlineStr">
        <is>
          <t>30/08/2026</t>
        </is>
      </c>
      <c r="E877" t="n">
        <v>12</v>
      </c>
      <c r="F877" t="n">
        <v>0</v>
      </c>
      <c r="G877">
        <f>E17814+F17814</f>
        <v/>
      </c>
    </row>
    <row r="878">
      <c r="A878" t="inlineStr">
        <is>
          <t>37550152</t>
        </is>
      </c>
      <c r="B878" t="inlineStr">
        <is>
          <t>PRODUCTO 31F5A9</t>
        </is>
      </c>
      <c r="C878" t="inlineStr">
        <is>
          <t>Salaverry</t>
        </is>
      </c>
      <c r="D878" t="inlineStr">
        <is>
          <t>30/08/2026</t>
        </is>
      </c>
      <c r="E878" t="n">
        <v>12</v>
      </c>
      <c r="F878" t="n">
        <v>0</v>
      </c>
      <c r="G878">
        <f>E17819+F17819</f>
        <v/>
      </c>
    </row>
    <row r="879">
      <c r="A879" t="inlineStr">
        <is>
          <t>37550152</t>
        </is>
      </c>
      <c r="B879" t="inlineStr">
        <is>
          <t>PRODUCTO 31F5A9</t>
        </is>
      </c>
      <c r="C879" t="inlineStr">
        <is>
          <t>San Borja</t>
        </is>
      </c>
      <c r="D879" t="inlineStr">
        <is>
          <t>30/08/2026</t>
        </is>
      </c>
      <c r="E879" t="n">
        <v>12</v>
      </c>
      <c r="F879" t="n">
        <v>0</v>
      </c>
      <c r="G879">
        <f>E17820+F17820</f>
        <v/>
      </c>
    </row>
    <row r="880">
      <c r="A880" t="inlineStr">
        <is>
          <t>25975095</t>
        </is>
      </c>
      <c r="B880" t="inlineStr">
        <is>
          <t>PRODUCTO 755182</t>
        </is>
      </c>
      <c r="C880" t="inlineStr">
        <is>
          <t>Jockey Plaza</t>
        </is>
      </c>
      <c r="D880" t="inlineStr">
        <is>
          <t>30/08/2026</t>
        </is>
      </c>
      <c r="E880" t="n">
        <v>1</v>
      </c>
      <c r="F880" t="n">
        <v>0</v>
      </c>
      <c r="G880">
        <f>E17992+F17992</f>
        <v/>
      </c>
    </row>
    <row r="881">
      <c r="A881" t="inlineStr">
        <is>
          <t>25975095</t>
        </is>
      </c>
      <c r="B881" t="inlineStr">
        <is>
          <t>PRODUCTO 755182</t>
        </is>
      </c>
      <c r="C881" t="inlineStr">
        <is>
          <t>Miraflores</t>
        </is>
      </c>
      <c r="D881" t="inlineStr">
        <is>
          <t>30/08/2026</t>
        </is>
      </c>
      <c r="E881" t="n">
        <v>3</v>
      </c>
      <c r="F881" t="n">
        <v>0</v>
      </c>
      <c r="G881">
        <f>E17993+F17993</f>
        <v/>
      </c>
    </row>
    <row r="882">
      <c r="A882" t="inlineStr">
        <is>
          <t>27828983</t>
        </is>
      </c>
      <c r="B882" t="inlineStr">
        <is>
          <t>PRODUCTO B6F4F4</t>
        </is>
      </c>
      <c r="C882" t="inlineStr">
        <is>
          <t>Jockey Plaza</t>
        </is>
      </c>
      <c r="D882" t="inlineStr">
        <is>
          <t>30/08/2026</t>
        </is>
      </c>
      <c r="E882" t="n">
        <v>1</v>
      </c>
      <c r="F882" t="n">
        <v>0</v>
      </c>
      <c r="G882">
        <f>E18145+F18145</f>
        <v/>
      </c>
    </row>
    <row r="883">
      <c r="A883" t="inlineStr">
        <is>
          <t>27828983</t>
        </is>
      </c>
      <c r="B883" t="inlineStr">
        <is>
          <t>PRODUCTO B6F4F4</t>
        </is>
      </c>
      <c r="C883" t="inlineStr">
        <is>
          <t>Salaverry</t>
        </is>
      </c>
      <c r="D883" t="inlineStr">
        <is>
          <t>30/08/2026</t>
        </is>
      </c>
      <c r="E883" t="n">
        <v>1</v>
      </c>
      <c r="F883" t="n">
        <v>0</v>
      </c>
      <c r="G883">
        <f>E18150+F18150</f>
        <v/>
      </c>
    </row>
    <row r="884">
      <c r="A884" t="inlineStr">
        <is>
          <t>27828983</t>
        </is>
      </c>
      <c r="B884" t="inlineStr">
        <is>
          <t>PRODUCTO B6F4F4</t>
        </is>
      </c>
      <c r="C884" t="inlineStr">
        <is>
          <t>Piura</t>
        </is>
      </c>
      <c r="D884" t="inlineStr">
        <is>
          <t>30/08/2026</t>
        </is>
      </c>
      <c r="E884" t="n">
        <v>2</v>
      </c>
      <c r="F884" t="n">
        <v>0</v>
      </c>
      <c r="G884">
        <f>E18151+F18151</f>
        <v/>
      </c>
    </row>
    <row r="885">
      <c r="A885" t="inlineStr">
        <is>
          <t>27828988</t>
        </is>
      </c>
      <c r="B885" t="inlineStr">
        <is>
          <t>PRODUCTO ABDF16</t>
        </is>
      </c>
      <c r="C885" t="inlineStr">
        <is>
          <t>San Miguel</t>
        </is>
      </c>
      <c r="D885" t="inlineStr">
        <is>
          <t>30/08/2026</t>
        </is>
      </c>
      <c r="E885" t="n">
        <v>2</v>
      </c>
      <c r="F885" t="n">
        <v>0</v>
      </c>
      <c r="G885">
        <f>E18153+F18153</f>
        <v/>
      </c>
    </row>
    <row r="886">
      <c r="A886" t="inlineStr">
        <is>
          <t>27828988</t>
        </is>
      </c>
      <c r="B886" t="inlineStr">
        <is>
          <t>PRODUCTO ABDF16</t>
        </is>
      </c>
      <c r="C886" t="inlineStr">
        <is>
          <t>Miraflores</t>
        </is>
      </c>
      <c r="D886" t="inlineStr">
        <is>
          <t>30/08/2026</t>
        </is>
      </c>
      <c r="E886" t="n">
        <v>3</v>
      </c>
      <c r="F886" t="n">
        <v>0</v>
      </c>
      <c r="G886">
        <f>E18154+F18154</f>
        <v/>
      </c>
    </row>
    <row r="887">
      <c r="A887" t="inlineStr">
        <is>
          <t>27828988</t>
        </is>
      </c>
      <c r="B887" t="inlineStr">
        <is>
          <t>PRODUCTO ABDF16</t>
        </is>
      </c>
      <c r="C887" t="inlineStr">
        <is>
          <t>Salaverry</t>
        </is>
      </c>
      <c r="D887" t="inlineStr">
        <is>
          <t>30/08/2026</t>
        </is>
      </c>
      <c r="E887" t="n">
        <v>5</v>
      </c>
      <c r="F887" t="n">
        <v>0</v>
      </c>
      <c r="G887">
        <f>E18160+F18160</f>
        <v/>
      </c>
    </row>
    <row r="888">
      <c r="A888" t="inlineStr">
        <is>
          <t>29256019</t>
        </is>
      </c>
      <c r="B888" t="inlineStr">
        <is>
          <t>PRODUCTO 01E545</t>
        </is>
      </c>
      <c r="C888" t="inlineStr">
        <is>
          <t>Miraflores</t>
        </is>
      </c>
      <c r="D888" t="inlineStr">
        <is>
          <t>30/08/2026</t>
        </is>
      </c>
      <c r="E888" t="n">
        <v>0</v>
      </c>
      <c r="F888" t="n">
        <v>0</v>
      </c>
      <c r="G888">
        <f>E18250+F18250</f>
        <v/>
      </c>
    </row>
    <row r="889">
      <c r="A889" t="inlineStr">
        <is>
          <t>33807779</t>
        </is>
      </c>
      <c r="B889" t="inlineStr">
        <is>
          <t>PRODUCTO 15ABFC</t>
        </is>
      </c>
      <c r="C889" t="inlineStr">
        <is>
          <t>Jockey Plaza</t>
        </is>
      </c>
      <c r="D889" t="inlineStr">
        <is>
          <t>30/08/2026</t>
        </is>
      </c>
      <c r="E889" t="n">
        <v>119</v>
      </c>
      <c r="F889" t="n">
        <v>0</v>
      </c>
      <c r="G889">
        <f>E18354+F18354</f>
        <v/>
      </c>
    </row>
    <row r="890">
      <c r="A890" t="inlineStr">
        <is>
          <t>33807779</t>
        </is>
      </c>
      <c r="B890" t="inlineStr">
        <is>
          <t>PRODUCTO 15ABFC</t>
        </is>
      </c>
      <c r="C890" t="inlineStr">
        <is>
          <t>San Miguel</t>
        </is>
      </c>
      <c r="D890" t="inlineStr">
        <is>
          <t>30/08/2026</t>
        </is>
      </c>
      <c r="E890" t="n">
        <v>95</v>
      </c>
      <c r="F890" t="n">
        <v>0</v>
      </c>
      <c r="G890">
        <f>E18355+F18355</f>
        <v/>
      </c>
    </row>
    <row r="891">
      <c r="A891" t="inlineStr">
        <is>
          <t>33807779</t>
        </is>
      </c>
      <c r="B891" t="inlineStr">
        <is>
          <t>PRODUCTO 15ABFC</t>
        </is>
      </c>
      <c r="C891" t="inlineStr">
        <is>
          <t>Miraflores</t>
        </is>
      </c>
      <c r="D891" t="inlineStr">
        <is>
          <t>30/08/2026</t>
        </is>
      </c>
      <c r="E891" t="n">
        <v>85</v>
      </c>
      <c r="F891" t="n">
        <v>0</v>
      </c>
      <c r="G891">
        <f>E18356+F18356</f>
        <v/>
      </c>
    </row>
    <row r="892">
      <c r="A892" t="inlineStr">
        <is>
          <t>33807779</t>
        </is>
      </c>
      <c r="B892" t="inlineStr">
        <is>
          <t>PRODUCTO 15ABFC</t>
        </is>
      </c>
      <c r="C892" t="inlineStr">
        <is>
          <t>Salaverry</t>
        </is>
      </c>
      <c r="D892" t="inlineStr">
        <is>
          <t>30/08/2026</t>
        </is>
      </c>
      <c r="E892" t="n">
        <v>102</v>
      </c>
      <c r="F892" t="n">
        <v>0</v>
      </c>
      <c r="G892">
        <f>E18365+F18365</f>
        <v/>
      </c>
    </row>
    <row r="893">
      <c r="A893" t="inlineStr">
        <is>
          <t>33807779</t>
        </is>
      </c>
      <c r="B893" t="inlineStr">
        <is>
          <t>PRODUCTO 15ABFC</t>
        </is>
      </c>
      <c r="C893" t="inlineStr">
        <is>
          <t>San Borja</t>
        </is>
      </c>
      <c r="D893" t="inlineStr">
        <is>
          <t>30/08/2026</t>
        </is>
      </c>
      <c r="E893" t="n">
        <v>63</v>
      </c>
      <c r="F893" t="n">
        <v>0</v>
      </c>
      <c r="G893">
        <f>E18366+F18366</f>
        <v/>
      </c>
    </row>
    <row r="894">
      <c r="A894" t="inlineStr">
        <is>
          <t>33807779</t>
        </is>
      </c>
      <c r="B894" t="inlineStr">
        <is>
          <t>PRODUCTO 15ABFC</t>
        </is>
      </c>
      <c r="C894" t="inlineStr">
        <is>
          <t>Piura</t>
        </is>
      </c>
      <c r="D894" t="inlineStr">
        <is>
          <t>30/08/2026</t>
        </is>
      </c>
      <c r="E894" t="n">
        <v>62</v>
      </c>
      <c r="F894" t="n">
        <v>0</v>
      </c>
      <c r="G894">
        <f>E18374+F18374</f>
        <v/>
      </c>
    </row>
    <row r="895">
      <c r="A895" t="inlineStr">
        <is>
          <t>36195449</t>
        </is>
      </c>
      <c r="B895" t="inlineStr">
        <is>
          <t>PRODUCTO F53B82</t>
        </is>
      </c>
      <c r="C895" t="inlineStr">
        <is>
          <t>San Miguel</t>
        </is>
      </c>
      <c r="D895" t="inlineStr">
        <is>
          <t>30/08/2026</t>
        </is>
      </c>
      <c r="E895" t="n">
        <v>1</v>
      </c>
      <c r="F895" t="n">
        <v>0</v>
      </c>
      <c r="G895">
        <f>E18772+F18772</f>
        <v/>
      </c>
    </row>
    <row r="896">
      <c r="A896" t="inlineStr">
        <is>
          <t>36195449</t>
        </is>
      </c>
      <c r="B896" t="inlineStr">
        <is>
          <t>PRODUCTO F53B82</t>
        </is>
      </c>
      <c r="C896" t="inlineStr">
        <is>
          <t>Miraflores</t>
        </is>
      </c>
      <c r="D896" t="inlineStr">
        <is>
          <t>30/08/2026</t>
        </is>
      </c>
      <c r="E896" t="n">
        <v>1</v>
      </c>
      <c r="F896" t="n">
        <v>0</v>
      </c>
      <c r="G896">
        <f>E18773+F18773</f>
        <v/>
      </c>
    </row>
    <row r="897">
      <c r="A897" t="inlineStr">
        <is>
          <t>36195449</t>
        </is>
      </c>
      <c r="B897" t="inlineStr">
        <is>
          <t>PRODUCTO F53B82</t>
        </is>
      </c>
      <c r="C897" t="inlineStr">
        <is>
          <t>Salaverry</t>
        </is>
      </c>
      <c r="D897" t="inlineStr">
        <is>
          <t>30/08/2026</t>
        </is>
      </c>
      <c r="E897" t="n">
        <v>-1</v>
      </c>
      <c r="F897" t="n">
        <v>0</v>
      </c>
      <c r="G897">
        <f>E18779+F18779</f>
        <v/>
      </c>
    </row>
    <row r="898">
      <c r="A898" t="inlineStr">
        <is>
          <t>36195449</t>
        </is>
      </c>
      <c r="B898" t="inlineStr">
        <is>
          <t>PRODUCTO F53B82</t>
        </is>
      </c>
      <c r="C898" t="inlineStr">
        <is>
          <t>San Borja</t>
        </is>
      </c>
      <c r="D898" t="inlineStr">
        <is>
          <t>30/08/2026</t>
        </is>
      </c>
      <c r="E898" t="n">
        <v>1</v>
      </c>
      <c r="F898" t="n">
        <v>0</v>
      </c>
      <c r="G898">
        <f>E18780+F18780</f>
        <v/>
      </c>
    </row>
    <row r="899">
      <c r="A899" t="inlineStr">
        <is>
          <t>36195449</t>
        </is>
      </c>
      <c r="B899" t="inlineStr">
        <is>
          <t>PRODUCTO F53B82</t>
        </is>
      </c>
      <c r="C899" t="inlineStr">
        <is>
          <t>Piura</t>
        </is>
      </c>
      <c r="D899" t="inlineStr">
        <is>
          <t>30/08/2026</t>
        </is>
      </c>
      <c r="E899" t="n">
        <v>2</v>
      </c>
      <c r="F899" t="n">
        <v>0</v>
      </c>
      <c r="G899">
        <f>E18786+F18786</f>
        <v/>
      </c>
    </row>
    <row r="900">
      <c r="A900" t="inlineStr">
        <is>
          <t>36195519</t>
        </is>
      </c>
      <c r="B900" t="inlineStr">
        <is>
          <t>PRODUCTO 6177EF</t>
        </is>
      </c>
      <c r="C900" t="inlineStr">
        <is>
          <t>Miraflores</t>
        </is>
      </c>
      <c r="D900" t="inlineStr">
        <is>
          <t>30/08/2026</t>
        </is>
      </c>
      <c r="E900" t="n">
        <v>1</v>
      </c>
      <c r="F900" t="n">
        <v>0</v>
      </c>
      <c r="G900">
        <f>E18836+F18836</f>
        <v/>
      </c>
    </row>
    <row r="901">
      <c r="A901" t="inlineStr">
        <is>
          <t>36198143</t>
        </is>
      </c>
      <c r="B901" t="inlineStr">
        <is>
          <t>PRODUCTO 2AD39D</t>
        </is>
      </c>
      <c r="C901" t="inlineStr">
        <is>
          <t>Jockey Plaza</t>
        </is>
      </c>
      <c r="D901" t="inlineStr">
        <is>
          <t>30/08/2026</t>
        </is>
      </c>
      <c r="E901" t="n">
        <v>6</v>
      </c>
      <c r="F901" t="n">
        <v>0</v>
      </c>
      <c r="G901">
        <f>E18977+F18977</f>
        <v/>
      </c>
    </row>
    <row r="902">
      <c r="A902" t="inlineStr">
        <is>
          <t>36198143</t>
        </is>
      </c>
      <c r="B902" t="inlineStr">
        <is>
          <t>PRODUCTO 2AD39D</t>
        </is>
      </c>
      <c r="C902" t="inlineStr">
        <is>
          <t>San Miguel</t>
        </is>
      </c>
      <c r="D902" t="inlineStr">
        <is>
          <t>30/08/2026</t>
        </is>
      </c>
      <c r="E902" t="n">
        <v>5</v>
      </c>
      <c r="F902" t="n">
        <v>0</v>
      </c>
      <c r="G902">
        <f>E18978+F18978</f>
        <v/>
      </c>
    </row>
    <row r="903">
      <c r="A903" t="inlineStr">
        <is>
          <t>36198143</t>
        </is>
      </c>
      <c r="B903" t="inlineStr">
        <is>
          <t>PRODUCTO 2AD39D</t>
        </is>
      </c>
      <c r="C903" t="inlineStr">
        <is>
          <t>Miraflores</t>
        </is>
      </c>
      <c r="D903" t="inlineStr">
        <is>
          <t>30/08/2026</t>
        </is>
      </c>
      <c r="E903" t="n">
        <v>4</v>
      </c>
      <c r="F903" t="n">
        <v>0</v>
      </c>
      <c r="G903">
        <f>E18979+F18979</f>
        <v/>
      </c>
    </row>
    <row r="904">
      <c r="A904" t="inlineStr">
        <is>
          <t>36198143</t>
        </is>
      </c>
      <c r="B904" t="inlineStr">
        <is>
          <t>PRODUCTO 2AD39D</t>
        </is>
      </c>
      <c r="C904" t="inlineStr">
        <is>
          <t>Salaverry</t>
        </is>
      </c>
      <c r="D904" t="inlineStr">
        <is>
          <t>30/08/2026</t>
        </is>
      </c>
      <c r="E904" t="n">
        <v>4</v>
      </c>
      <c r="F904" t="n">
        <v>0</v>
      </c>
      <c r="G904">
        <f>E18987+F18987</f>
        <v/>
      </c>
    </row>
    <row r="905">
      <c r="A905" t="inlineStr">
        <is>
          <t>36198143</t>
        </is>
      </c>
      <c r="B905" t="inlineStr">
        <is>
          <t>PRODUCTO 2AD39D</t>
        </is>
      </c>
      <c r="C905" t="inlineStr">
        <is>
          <t>San Borja</t>
        </is>
      </c>
      <c r="D905" t="inlineStr">
        <is>
          <t>30/08/2026</t>
        </is>
      </c>
      <c r="E905" t="n">
        <v>6</v>
      </c>
      <c r="F905" t="n">
        <v>0</v>
      </c>
      <c r="G905">
        <f>E18988+F18988</f>
        <v/>
      </c>
    </row>
    <row r="906">
      <c r="A906" t="inlineStr">
        <is>
          <t>36198143</t>
        </is>
      </c>
      <c r="B906" t="inlineStr">
        <is>
          <t>PRODUCTO 2AD39D</t>
        </is>
      </c>
      <c r="C906" t="inlineStr">
        <is>
          <t>Piura</t>
        </is>
      </c>
      <c r="D906" t="inlineStr">
        <is>
          <t>30/08/2026</t>
        </is>
      </c>
      <c r="E906" t="n">
        <v>6</v>
      </c>
      <c r="F906" t="n">
        <v>0</v>
      </c>
      <c r="G906">
        <f>E18991+F18991</f>
        <v/>
      </c>
    </row>
    <row r="907">
      <c r="A907" t="inlineStr">
        <is>
          <t>36205813</t>
        </is>
      </c>
      <c r="B907" t="inlineStr">
        <is>
          <t>PRODUCTO F7B07E</t>
        </is>
      </c>
      <c r="C907" t="inlineStr">
        <is>
          <t>San Miguel</t>
        </is>
      </c>
      <c r="D907" t="inlineStr">
        <is>
          <t>30/08/2026</t>
        </is>
      </c>
      <c r="E907" t="n">
        <v>2</v>
      </c>
      <c r="F907" t="n">
        <v>0</v>
      </c>
      <c r="G907">
        <f>E19169+F19169</f>
        <v/>
      </c>
    </row>
    <row r="908">
      <c r="A908" t="inlineStr">
        <is>
          <t>36205813</t>
        </is>
      </c>
      <c r="B908" t="inlineStr">
        <is>
          <t>PRODUCTO F7B07E</t>
        </is>
      </c>
      <c r="C908" t="inlineStr">
        <is>
          <t>Miraflores</t>
        </is>
      </c>
      <c r="D908" t="inlineStr">
        <is>
          <t>30/08/2026</t>
        </is>
      </c>
      <c r="E908" t="n">
        <v>1</v>
      </c>
      <c r="F908" t="n">
        <v>0</v>
      </c>
      <c r="G908">
        <f>E19170+F19170</f>
        <v/>
      </c>
    </row>
    <row r="909">
      <c r="A909" t="inlineStr">
        <is>
          <t>36205813</t>
        </is>
      </c>
      <c r="B909" t="inlineStr">
        <is>
          <t>PRODUCTO F7B07E</t>
        </is>
      </c>
      <c r="C909" t="inlineStr">
        <is>
          <t>Salaverry</t>
        </is>
      </c>
      <c r="D909" t="inlineStr">
        <is>
          <t>30/08/2026</t>
        </is>
      </c>
      <c r="E909" t="n">
        <v>-1</v>
      </c>
      <c r="F909" t="n">
        <v>0</v>
      </c>
      <c r="G909">
        <f>E19172+F19172</f>
        <v/>
      </c>
    </row>
    <row r="910">
      <c r="A910" t="inlineStr">
        <is>
          <t>36205813</t>
        </is>
      </c>
      <c r="B910" t="inlineStr">
        <is>
          <t>PRODUCTO F7B07E</t>
        </is>
      </c>
      <c r="C910" t="inlineStr">
        <is>
          <t>Piura</t>
        </is>
      </c>
      <c r="D910" t="inlineStr">
        <is>
          <t>30/08/2026</t>
        </is>
      </c>
      <c r="E910" t="n">
        <v>8</v>
      </c>
      <c r="F910" t="n">
        <v>0</v>
      </c>
      <c r="G910">
        <f>E19177+F19177</f>
        <v/>
      </c>
    </row>
    <row r="911">
      <c r="A911" t="inlineStr">
        <is>
          <t>36210326</t>
        </is>
      </c>
      <c r="B911" t="inlineStr">
        <is>
          <t>PRODUCTO C68242</t>
        </is>
      </c>
      <c r="C911" t="inlineStr">
        <is>
          <t>Jockey Plaza</t>
        </is>
      </c>
      <c r="D911" t="inlineStr">
        <is>
          <t>30/08/2026</t>
        </is>
      </c>
      <c r="E911" t="n">
        <v>2</v>
      </c>
      <c r="F911" t="n">
        <v>0</v>
      </c>
      <c r="G911">
        <f>E19200+F19200</f>
        <v/>
      </c>
    </row>
    <row r="912">
      <c r="A912" t="inlineStr">
        <is>
          <t>36210326</t>
        </is>
      </c>
      <c r="B912" t="inlineStr">
        <is>
          <t>PRODUCTO C68242</t>
        </is>
      </c>
      <c r="C912" t="inlineStr">
        <is>
          <t>San Miguel</t>
        </is>
      </c>
      <c r="D912" t="inlineStr">
        <is>
          <t>30/08/2026</t>
        </is>
      </c>
      <c r="E912" t="n">
        <v>4</v>
      </c>
      <c r="F912" t="n">
        <v>0</v>
      </c>
      <c r="G912">
        <f>E19201+F19201</f>
        <v/>
      </c>
    </row>
    <row r="913">
      <c r="A913" t="inlineStr">
        <is>
          <t>36210326</t>
        </is>
      </c>
      <c r="B913" t="inlineStr">
        <is>
          <t>PRODUCTO C68242</t>
        </is>
      </c>
      <c r="C913" t="inlineStr">
        <is>
          <t>Miraflores</t>
        </is>
      </c>
      <c r="D913" t="inlineStr">
        <is>
          <t>30/08/2026</t>
        </is>
      </c>
      <c r="E913" t="n">
        <v>8</v>
      </c>
      <c r="F913" t="n">
        <v>0</v>
      </c>
      <c r="G913">
        <f>E19202+F19202</f>
        <v/>
      </c>
    </row>
    <row r="914">
      <c r="A914" t="inlineStr">
        <is>
          <t>36210326</t>
        </is>
      </c>
      <c r="B914" t="inlineStr">
        <is>
          <t>PRODUCTO C68242</t>
        </is>
      </c>
      <c r="C914" t="inlineStr">
        <is>
          <t>Salaverry</t>
        </is>
      </c>
      <c r="D914" t="inlineStr">
        <is>
          <t>30/08/2026</t>
        </is>
      </c>
      <c r="E914" t="n">
        <v>4</v>
      </c>
      <c r="F914" t="n">
        <v>0</v>
      </c>
      <c r="G914">
        <f>E19210+F19210</f>
        <v/>
      </c>
    </row>
    <row r="915">
      <c r="A915" t="inlineStr">
        <is>
          <t>36210326</t>
        </is>
      </c>
      <c r="B915" t="inlineStr">
        <is>
          <t>PRODUCTO C68242</t>
        </is>
      </c>
      <c r="C915" t="inlineStr">
        <is>
          <t>San Borja</t>
        </is>
      </c>
      <c r="D915" t="inlineStr">
        <is>
          <t>30/08/2026</t>
        </is>
      </c>
      <c r="E915" t="n">
        <v>2</v>
      </c>
      <c r="F915" t="n">
        <v>0</v>
      </c>
      <c r="G915">
        <f>E19211+F19211</f>
        <v/>
      </c>
    </row>
    <row r="916">
      <c r="A916" t="inlineStr">
        <is>
          <t>36429163</t>
        </is>
      </c>
      <c r="B916" t="inlineStr">
        <is>
          <t>PRODUCTO 17ED76</t>
        </is>
      </c>
      <c r="C916" t="inlineStr">
        <is>
          <t>Salaverry</t>
        </is>
      </c>
      <c r="D916" t="inlineStr">
        <is>
          <t>30/08/2026</t>
        </is>
      </c>
      <c r="E916" t="n">
        <v>-1</v>
      </c>
      <c r="F916" t="n">
        <v>0</v>
      </c>
      <c r="G916">
        <f>E19389+F19389</f>
        <v/>
      </c>
    </row>
    <row r="917">
      <c r="A917" t="inlineStr">
        <is>
          <t>36546534</t>
        </is>
      </c>
      <c r="B917" t="inlineStr">
        <is>
          <t>PRODUCTO 40E10B</t>
        </is>
      </c>
      <c r="C917" t="inlineStr">
        <is>
          <t>Miraflores</t>
        </is>
      </c>
      <c r="D917" t="inlineStr">
        <is>
          <t>30/08/2026</t>
        </is>
      </c>
      <c r="E917" t="n">
        <v>2</v>
      </c>
      <c r="F917" t="n">
        <v>0</v>
      </c>
      <c r="G917">
        <f>E19682+F19682</f>
        <v/>
      </c>
    </row>
    <row r="918">
      <c r="A918" t="inlineStr">
        <is>
          <t>36546534</t>
        </is>
      </c>
      <c r="B918" t="inlineStr">
        <is>
          <t>PRODUCTO 40E10B</t>
        </is>
      </c>
      <c r="C918" t="inlineStr">
        <is>
          <t>Salaverry</t>
        </is>
      </c>
      <c r="D918" t="inlineStr">
        <is>
          <t>30/08/2026</t>
        </is>
      </c>
      <c r="E918" t="n">
        <v>1</v>
      </c>
      <c r="F918" t="n">
        <v>0</v>
      </c>
      <c r="G918">
        <f>E19689+F19689</f>
        <v/>
      </c>
    </row>
    <row r="919">
      <c r="A919" t="inlineStr">
        <is>
          <t>36546534</t>
        </is>
      </c>
      <c r="B919" t="inlineStr">
        <is>
          <t>PRODUCTO 40E10B</t>
        </is>
      </c>
      <c r="C919" t="inlineStr">
        <is>
          <t>Piura</t>
        </is>
      </c>
      <c r="D919" t="inlineStr">
        <is>
          <t>30/08/2026</t>
        </is>
      </c>
      <c r="E919" t="n">
        <v>8</v>
      </c>
      <c r="F919" t="n">
        <v>0</v>
      </c>
      <c r="G919">
        <f>E19695+F19695</f>
        <v/>
      </c>
    </row>
    <row r="920">
      <c r="A920" t="inlineStr">
        <is>
          <t>36574936</t>
        </is>
      </c>
      <c r="B920" t="inlineStr">
        <is>
          <t>PRODUCTO 604D6E</t>
        </is>
      </c>
      <c r="C920" t="inlineStr">
        <is>
          <t>Miraflores</t>
        </is>
      </c>
      <c r="D920" t="inlineStr">
        <is>
          <t>30/08/2026</t>
        </is>
      </c>
      <c r="E920" t="n">
        <v>5</v>
      </c>
      <c r="F920" t="n">
        <v>0</v>
      </c>
      <c r="G920">
        <f>E19718+F19718</f>
        <v/>
      </c>
    </row>
    <row r="921">
      <c r="A921" t="inlineStr">
        <is>
          <t>36574936</t>
        </is>
      </c>
      <c r="B921" t="inlineStr">
        <is>
          <t>PRODUCTO 604D6E</t>
        </is>
      </c>
      <c r="C921" t="inlineStr">
        <is>
          <t>Salaverry</t>
        </is>
      </c>
      <c r="D921" t="inlineStr">
        <is>
          <t>30/08/2026</t>
        </is>
      </c>
      <c r="E921" t="n">
        <v>5</v>
      </c>
      <c r="F921" t="n">
        <v>0</v>
      </c>
      <c r="G921">
        <f>E19723+F19723</f>
        <v/>
      </c>
    </row>
    <row r="922">
      <c r="A922" t="inlineStr">
        <is>
          <t>36574936</t>
        </is>
      </c>
      <c r="B922" t="inlineStr">
        <is>
          <t>PRODUCTO 604D6E</t>
        </is>
      </c>
      <c r="C922" t="inlineStr">
        <is>
          <t>Piura</t>
        </is>
      </c>
      <c r="D922" t="inlineStr">
        <is>
          <t>30/08/2026</t>
        </is>
      </c>
      <c r="E922" t="n">
        <v>1</v>
      </c>
      <c r="F922" t="n">
        <v>0</v>
      </c>
      <c r="G922">
        <f>E19729+F19729</f>
        <v/>
      </c>
    </row>
    <row r="923">
      <c r="A923" t="inlineStr">
        <is>
          <t>36591674</t>
        </is>
      </c>
      <c r="B923" t="inlineStr">
        <is>
          <t>PRODUCTO 971F2A</t>
        </is>
      </c>
      <c r="C923" t="inlineStr">
        <is>
          <t>Salaverry</t>
        </is>
      </c>
      <c r="D923" t="inlineStr">
        <is>
          <t>30/08/2026</t>
        </is>
      </c>
      <c r="E923" t="n">
        <v>1</v>
      </c>
      <c r="F923" t="n">
        <v>0</v>
      </c>
      <c r="G923">
        <f>E19746+F19746</f>
        <v/>
      </c>
    </row>
    <row r="924">
      <c r="A924" t="inlineStr">
        <is>
          <t>36622310</t>
        </is>
      </c>
      <c r="B924" t="inlineStr">
        <is>
          <t>PRODUCTO C8C8C0</t>
        </is>
      </c>
      <c r="C924" t="inlineStr">
        <is>
          <t>Salaverry</t>
        </is>
      </c>
      <c r="D924" t="inlineStr">
        <is>
          <t>30/08/2026</t>
        </is>
      </c>
      <c r="E924" t="n">
        <v>4</v>
      </c>
      <c r="F924" t="n">
        <v>0</v>
      </c>
      <c r="G924">
        <f>E19771+F19771</f>
        <v/>
      </c>
    </row>
    <row r="925">
      <c r="A925" t="inlineStr">
        <is>
          <t>36622310</t>
        </is>
      </c>
      <c r="B925" t="inlineStr">
        <is>
          <t>PRODUCTO C8C8C0</t>
        </is>
      </c>
      <c r="C925" t="inlineStr">
        <is>
          <t>Piura</t>
        </is>
      </c>
      <c r="D925" t="inlineStr">
        <is>
          <t>30/08/2026</t>
        </is>
      </c>
      <c r="E925" t="n">
        <v>1</v>
      </c>
      <c r="F925" t="n">
        <v>0</v>
      </c>
      <c r="G925">
        <f>E19775+F19775</f>
        <v/>
      </c>
    </row>
    <row r="926">
      <c r="A926" t="inlineStr">
        <is>
          <t>36669100</t>
        </is>
      </c>
      <c r="B926" t="inlineStr">
        <is>
          <t>PRODUCTO F9BFBF</t>
        </is>
      </c>
      <c r="C926" t="inlineStr">
        <is>
          <t>San Miguel</t>
        </is>
      </c>
      <c r="D926" t="inlineStr">
        <is>
          <t>30/08/2026</t>
        </is>
      </c>
      <c r="E926" t="n">
        <v>2</v>
      </c>
      <c r="F926" t="n">
        <v>0</v>
      </c>
      <c r="G926">
        <f>E19850+F19850</f>
        <v/>
      </c>
    </row>
    <row r="927">
      <c r="A927" t="inlineStr">
        <is>
          <t>36669100</t>
        </is>
      </c>
      <c r="B927" t="inlineStr">
        <is>
          <t>PRODUCTO F9BFBF</t>
        </is>
      </c>
      <c r="C927" t="inlineStr">
        <is>
          <t>Piura</t>
        </is>
      </c>
      <c r="D927" t="inlineStr">
        <is>
          <t>30/08/2026</t>
        </is>
      </c>
      <c r="E927" t="n">
        <v>0</v>
      </c>
      <c r="F927" t="n">
        <v>0</v>
      </c>
      <c r="G927">
        <f>E19855+F19855</f>
        <v/>
      </c>
    </row>
    <row r="928">
      <c r="A928" t="inlineStr">
        <is>
          <t>36798522</t>
        </is>
      </c>
      <c r="B928" t="inlineStr">
        <is>
          <t>PRODUCTO DD7A44</t>
        </is>
      </c>
      <c r="C928" t="inlineStr">
        <is>
          <t>Jockey Plaza</t>
        </is>
      </c>
      <c r="D928" t="inlineStr">
        <is>
          <t>30/08/2026</t>
        </is>
      </c>
      <c r="E928" t="n">
        <v>1</v>
      </c>
      <c r="F928" t="n">
        <v>0</v>
      </c>
      <c r="G928">
        <f>E20272+F20272</f>
        <v/>
      </c>
    </row>
    <row r="929">
      <c r="A929" t="inlineStr">
        <is>
          <t>36798522</t>
        </is>
      </c>
      <c r="B929" t="inlineStr">
        <is>
          <t>PRODUCTO DD7A44</t>
        </is>
      </c>
      <c r="C929" t="inlineStr">
        <is>
          <t>San Miguel</t>
        </is>
      </c>
      <c r="D929" t="inlineStr">
        <is>
          <t>30/08/2026</t>
        </is>
      </c>
      <c r="E929" t="n">
        <v>1</v>
      </c>
      <c r="F929" t="n">
        <v>0</v>
      </c>
      <c r="G929">
        <f>E20273+F20273</f>
        <v/>
      </c>
    </row>
    <row r="930">
      <c r="A930" t="inlineStr">
        <is>
          <t>36798522</t>
        </is>
      </c>
      <c r="B930" t="inlineStr">
        <is>
          <t>PRODUCTO DD7A44</t>
        </is>
      </c>
      <c r="C930" t="inlineStr">
        <is>
          <t>Miraflores</t>
        </is>
      </c>
      <c r="D930" t="inlineStr">
        <is>
          <t>30/08/2026</t>
        </is>
      </c>
      <c r="E930" t="n">
        <v>1</v>
      </c>
      <c r="F930" t="n">
        <v>0</v>
      </c>
      <c r="G930">
        <f>E20274+F20274</f>
        <v/>
      </c>
    </row>
    <row r="931">
      <c r="A931" t="inlineStr">
        <is>
          <t>36798522</t>
        </is>
      </c>
      <c r="B931" t="inlineStr">
        <is>
          <t>PRODUCTO DD7A44</t>
        </is>
      </c>
      <c r="C931" t="inlineStr">
        <is>
          <t>Salaverry</t>
        </is>
      </c>
      <c r="D931" t="inlineStr">
        <is>
          <t>30/08/2026</t>
        </is>
      </c>
      <c r="E931" t="n">
        <v>-1</v>
      </c>
      <c r="F931" t="n">
        <v>0</v>
      </c>
      <c r="G931">
        <f>E20283+F20283</f>
        <v/>
      </c>
    </row>
    <row r="932">
      <c r="A932" t="inlineStr">
        <is>
          <t>36798522</t>
        </is>
      </c>
      <c r="B932" t="inlineStr">
        <is>
          <t>PRODUCTO DD7A44</t>
        </is>
      </c>
      <c r="C932" t="inlineStr">
        <is>
          <t>San Borja</t>
        </is>
      </c>
      <c r="D932" t="inlineStr">
        <is>
          <t>30/08/2026</t>
        </is>
      </c>
      <c r="E932" t="n">
        <v>2</v>
      </c>
      <c r="F932" t="n">
        <v>0</v>
      </c>
      <c r="G932">
        <f>E20284+F20284</f>
        <v/>
      </c>
    </row>
    <row r="933">
      <c r="A933" t="inlineStr">
        <is>
          <t>36798522</t>
        </is>
      </c>
      <c r="B933" t="inlineStr">
        <is>
          <t>PRODUCTO DD7A44</t>
        </is>
      </c>
      <c r="C933" t="inlineStr">
        <is>
          <t>Piura</t>
        </is>
      </c>
      <c r="D933" t="inlineStr">
        <is>
          <t>30/08/2026</t>
        </is>
      </c>
      <c r="E933" t="n">
        <v>11</v>
      </c>
      <c r="F933" t="n">
        <v>0</v>
      </c>
      <c r="G933">
        <f>E20292+F20292</f>
        <v/>
      </c>
    </row>
    <row r="934">
      <c r="A934" t="inlineStr">
        <is>
          <t>36838762</t>
        </is>
      </c>
      <c r="B934" t="inlineStr">
        <is>
          <t>PRODUCTO 0EB13C</t>
        </is>
      </c>
      <c r="C934" t="inlineStr">
        <is>
          <t>Jockey Plaza</t>
        </is>
      </c>
      <c r="D934" t="inlineStr">
        <is>
          <t>30/08/2026</t>
        </is>
      </c>
      <c r="E934" t="n">
        <v>94</v>
      </c>
      <c r="F934" t="n">
        <v>0</v>
      </c>
      <c r="G934">
        <f>E20501+F20501</f>
        <v/>
      </c>
    </row>
    <row r="935">
      <c r="A935" t="inlineStr">
        <is>
          <t>36838762</t>
        </is>
      </c>
      <c r="B935" t="inlineStr">
        <is>
          <t>PRODUCTO 0EB13C</t>
        </is>
      </c>
      <c r="C935" t="inlineStr">
        <is>
          <t>San Miguel</t>
        </is>
      </c>
      <c r="D935" t="inlineStr">
        <is>
          <t>30/08/2026</t>
        </is>
      </c>
      <c r="E935" t="n">
        <v>83</v>
      </c>
      <c r="F935" t="n">
        <v>0</v>
      </c>
      <c r="G935">
        <f>E20502+F20502</f>
        <v/>
      </c>
    </row>
    <row r="936">
      <c r="A936" t="inlineStr">
        <is>
          <t>36838762</t>
        </is>
      </c>
      <c r="B936" t="inlineStr">
        <is>
          <t>PRODUCTO 0EB13C</t>
        </is>
      </c>
      <c r="C936" t="inlineStr">
        <is>
          <t>Miraflores</t>
        </is>
      </c>
      <c r="D936" t="inlineStr">
        <is>
          <t>30/08/2026</t>
        </is>
      </c>
      <c r="E936" t="n">
        <v>106</v>
      </c>
      <c r="F936" t="n">
        <v>0</v>
      </c>
      <c r="G936">
        <f>E20503+F20503</f>
        <v/>
      </c>
    </row>
    <row r="937">
      <c r="A937" t="inlineStr">
        <is>
          <t>36838762</t>
        </is>
      </c>
      <c r="B937" t="inlineStr">
        <is>
          <t>PRODUCTO 0EB13C</t>
        </is>
      </c>
      <c r="C937" t="inlineStr">
        <is>
          <t>Salaverry</t>
        </is>
      </c>
      <c r="D937" t="inlineStr">
        <is>
          <t>30/08/2026</t>
        </is>
      </c>
      <c r="E937" t="n">
        <v>96</v>
      </c>
      <c r="F937" t="n">
        <v>0</v>
      </c>
      <c r="G937">
        <f>E20512+F20512</f>
        <v/>
      </c>
    </row>
    <row r="938">
      <c r="A938" t="inlineStr">
        <is>
          <t>36838762</t>
        </is>
      </c>
      <c r="B938" t="inlineStr">
        <is>
          <t>PRODUCTO 0EB13C</t>
        </is>
      </c>
      <c r="C938" t="inlineStr">
        <is>
          <t>San Borja</t>
        </is>
      </c>
      <c r="D938" t="inlineStr">
        <is>
          <t>30/08/2026</t>
        </is>
      </c>
      <c r="E938" t="n">
        <v>93</v>
      </c>
      <c r="F938" t="n">
        <v>0</v>
      </c>
      <c r="G938">
        <f>E20513+F20513</f>
        <v/>
      </c>
    </row>
    <row r="939">
      <c r="A939" t="inlineStr">
        <is>
          <t>36838762</t>
        </is>
      </c>
      <c r="B939" t="inlineStr">
        <is>
          <t>PRODUCTO 0EB13C</t>
        </is>
      </c>
      <c r="C939" t="inlineStr">
        <is>
          <t>Piura</t>
        </is>
      </c>
      <c r="D939" t="inlineStr">
        <is>
          <t>30/08/2026</t>
        </is>
      </c>
      <c r="E939" t="n">
        <v>90</v>
      </c>
      <c r="F939" t="n">
        <v>0</v>
      </c>
      <c r="G939">
        <f>E20521+F20521</f>
        <v/>
      </c>
    </row>
    <row r="940">
      <c r="A940" t="inlineStr">
        <is>
          <t>36872662</t>
        </is>
      </c>
      <c r="B940" t="inlineStr">
        <is>
          <t>PRODUCTO 1DA53A</t>
        </is>
      </c>
      <c r="C940" t="inlineStr">
        <is>
          <t>Jockey Plaza</t>
        </is>
      </c>
      <c r="D940" t="inlineStr">
        <is>
          <t>30/08/2026</t>
        </is>
      </c>
      <c r="E940" t="n">
        <v>14</v>
      </c>
      <c r="F940" t="n">
        <v>0</v>
      </c>
      <c r="G940">
        <f>E20704+F20704</f>
        <v/>
      </c>
    </row>
    <row r="941">
      <c r="A941" t="inlineStr">
        <is>
          <t>36872662</t>
        </is>
      </c>
      <c r="B941" t="inlineStr">
        <is>
          <t>PRODUCTO 1DA53A</t>
        </is>
      </c>
      <c r="C941" t="inlineStr">
        <is>
          <t>San Miguel</t>
        </is>
      </c>
      <c r="D941" t="inlineStr">
        <is>
          <t>30/08/2026</t>
        </is>
      </c>
      <c r="E941" t="n">
        <v>14</v>
      </c>
      <c r="F941" t="n">
        <v>0</v>
      </c>
      <c r="G941">
        <f>E20705+F20705</f>
        <v/>
      </c>
    </row>
    <row r="942">
      <c r="A942" t="inlineStr">
        <is>
          <t>36872662</t>
        </is>
      </c>
      <c r="B942" t="inlineStr">
        <is>
          <t>PRODUCTO 1DA53A</t>
        </is>
      </c>
      <c r="C942" t="inlineStr">
        <is>
          <t>Salaverry</t>
        </is>
      </c>
      <c r="D942" t="inlineStr">
        <is>
          <t>30/08/2026</t>
        </is>
      </c>
      <c r="E942" t="n">
        <v>9</v>
      </c>
      <c r="F942" t="n">
        <v>0</v>
      </c>
      <c r="G942">
        <f>E20709+F20709</f>
        <v/>
      </c>
    </row>
    <row r="943">
      <c r="A943" t="inlineStr">
        <is>
          <t>36872662</t>
        </is>
      </c>
      <c r="B943" t="inlineStr">
        <is>
          <t>PRODUCTO 1DA53A</t>
        </is>
      </c>
      <c r="C943" t="inlineStr">
        <is>
          <t>San Borja</t>
        </is>
      </c>
      <c r="D943" t="inlineStr">
        <is>
          <t>30/08/2026</t>
        </is>
      </c>
      <c r="E943" t="n">
        <v>1</v>
      </c>
      <c r="F943" t="n">
        <v>0</v>
      </c>
      <c r="G943">
        <f>E20710+F20710</f>
        <v/>
      </c>
    </row>
    <row r="944">
      <c r="A944" t="inlineStr">
        <is>
          <t>36878770</t>
        </is>
      </c>
      <c r="B944" t="inlineStr">
        <is>
          <t>PRODUCTO C9368C</t>
        </is>
      </c>
      <c r="C944" t="inlineStr">
        <is>
          <t>Jockey Plaza</t>
        </is>
      </c>
      <c r="D944" t="inlineStr">
        <is>
          <t>30/08/2026</t>
        </is>
      </c>
      <c r="E944" t="n">
        <v>26</v>
      </c>
      <c r="F944" t="n">
        <v>0</v>
      </c>
      <c r="G944">
        <f>E20836+F20836</f>
        <v/>
      </c>
    </row>
    <row r="945">
      <c r="A945" t="inlineStr">
        <is>
          <t>36878770</t>
        </is>
      </c>
      <c r="B945" t="inlineStr">
        <is>
          <t>PRODUCTO C9368C</t>
        </is>
      </c>
      <c r="C945" t="inlineStr">
        <is>
          <t>San Miguel</t>
        </is>
      </c>
      <c r="D945" t="inlineStr">
        <is>
          <t>30/08/2026</t>
        </is>
      </c>
      <c r="E945" t="n">
        <v>9</v>
      </c>
      <c r="F945" t="n">
        <v>0</v>
      </c>
      <c r="G945">
        <f>E20837+F20837</f>
        <v/>
      </c>
    </row>
    <row r="946">
      <c r="A946" t="inlineStr">
        <is>
          <t>36878770</t>
        </is>
      </c>
      <c r="B946" t="inlineStr">
        <is>
          <t>PRODUCTO C9368C</t>
        </is>
      </c>
      <c r="C946" t="inlineStr">
        <is>
          <t>Miraflores</t>
        </is>
      </c>
      <c r="D946" t="inlineStr">
        <is>
          <t>30/08/2026</t>
        </is>
      </c>
      <c r="E946" t="n">
        <v>22</v>
      </c>
      <c r="F946" t="n">
        <v>0</v>
      </c>
      <c r="G946">
        <f>E20838+F20838</f>
        <v/>
      </c>
    </row>
    <row r="947">
      <c r="A947" t="inlineStr">
        <is>
          <t>36878770</t>
        </is>
      </c>
      <c r="B947" t="inlineStr">
        <is>
          <t>PRODUCTO C9368C</t>
        </is>
      </c>
      <c r="C947" t="inlineStr">
        <is>
          <t>Salaverry</t>
        </is>
      </c>
      <c r="D947" t="inlineStr">
        <is>
          <t>30/08/2026</t>
        </is>
      </c>
      <c r="E947" t="n">
        <v>21</v>
      </c>
      <c r="F947" t="n">
        <v>0</v>
      </c>
      <c r="G947">
        <f>E20847+F20847</f>
        <v/>
      </c>
    </row>
    <row r="948">
      <c r="A948" t="inlineStr">
        <is>
          <t>36878770</t>
        </is>
      </c>
      <c r="B948" t="inlineStr">
        <is>
          <t>PRODUCTO C9368C</t>
        </is>
      </c>
      <c r="C948" t="inlineStr">
        <is>
          <t>San Borja</t>
        </is>
      </c>
      <c r="D948" t="inlineStr">
        <is>
          <t>30/08/2026</t>
        </is>
      </c>
      <c r="E948" t="n">
        <v>22</v>
      </c>
      <c r="F948" t="n">
        <v>0</v>
      </c>
      <c r="G948">
        <f>E20848+F20848</f>
        <v/>
      </c>
    </row>
    <row r="949">
      <c r="A949" t="inlineStr">
        <is>
          <t>36878770</t>
        </is>
      </c>
      <c r="B949" t="inlineStr">
        <is>
          <t>PRODUCTO C9368C</t>
        </is>
      </c>
      <c r="C949" t="inlineStr">
        <is>
          <t>Piura</t>
        </is>
      </c>
      <c r="D949" t="inlineStr">
        <is>
          <t>30/08/2026</t>
        </is>
      </c>
      <c r="E949" t="n">
        <v>17</v>
      </c>
      <c r="F949" t="n">
        <v>0</v>
      </c>
      <c r="G949">
        <f>E20856+F20856</f>
        <v/>
      </c>
    </row>
    <row r="950">
      <c r="A950" t="inlineStr">
        <is>
          <t>36878775</t>
        </is>
      </c>
      <c r="B950" t="inlineStr">
        <is>
          <t>PRODUCTO 37E2D3</t>
        </is>
      </c>
      <c r="C950" t="inlineStr">
        <is>
          <t>Jockey Plaza</t>
        </is>
      </c>
      <c r="D950" t="inlineStr">
        <is>
          <t>30/08/2026</t>
        </is>
      </c>
      <c r="E950" t="n">
        <v>7</v>
      </c>
      <c r="F950" t="n">
        <v>1</v>
      </c>
      <c r="G950">
        <f>E20866+F20866</f>
        <v/>
      </c>
    </row>
    <row r="951">
      <c r="A951" t="inlineStr">
        <is>
          <t>36878775</t>
        </is>
      </c>
      <c r="B951" t="inlineStr">
        <is>
          <t>PRODUCTO 37E2D3</t>
        </is>
      </c>
      <c r="C951" t="inlineStr">
        <is>
          <t>San Miguel</t>
        </is>
      </c>
      <c r="D951" t="inlineStr">
        <is>
          <t>30/08/2026</t>
        </is>
      </c>
      <c r="E951" t="n">
        <v>14</v>
      </c>
      <c r="F951" t="n">
        <v>1</v>
      </c>
      <c r="G951">
        <f>E20867+F20867</f>
        <v/>
      </c>
    </row>
    <row r="952">
      <c r="A952" t="inlineStr">
        <is>
          <t>36878775</t>
        </is>
      </c>
      <c r="B952" t="inlineStr">
        <is>
          <t>PRODUCTO 37E2D3</t>
        </is>
      </c>
      <c r="C952" t="inlineStr">
        <is>
          <t>Miraflores</t>
        </is>
      </c>
      <c r="D952" t="inlineStr">
        <is>
          <t>30/08/2026</t>
        </is>
      </c>
      <c r="E952" t="n">
        <v>23</v>
      </c>
      <c r="F952" t="n">
        <v>0</v>
      </c>
      <c r="G952">
        <f>E20868+F20868</f>
        <v/>
      </c>
    </row>
    <row r="953">
      <c r="A953" t="inlineStr">
        <is>
          <t>36878775</t>
        </is>
      </c>
      <c r="B953" t="inlineStr">
        <is>
          <t>PRODUCTO 37E2D3</t>
        </is>
      </c>
      <c r="C953" t="inlineStr">
        <is>
          <t>Salaverry</t>
        </is>
      </c>
      <c r="D953" t="inlineStr">
        <is>
          <t>30/08/2026</t>
        </is>
      </c>
      <c r="E953" t="n">
        <v>22</v>
      </c>
      <c r="F953" t="n">
        <v>0</v>
      </c>
      <c r="G953">
        <f>E20877+F20877</f>
        <v/>
      </c>
    </row>
    <row r="954">
      <c r="A954" t="inlineStr">
        <is>
          <t>36878775</t>
        </is>
      </c>
      <c r="B954" t="inlineStr">
        <is>
          <t>PRODUCTO 37E2D3</t>
        </is>
      </c>
      <c r="C954" t="inlineStr">
        <is>
          <t>San Borja</t>
        </is>
      </c>
      <c r="D954" t="inlineStr">
        <is>
          <t>30/08/2026</t>
        </is>
      </c>
      <c r="E954" t="n">
        <v>14</v>
      </c>
      <c r="F954" t="n">
        <v>0</v>
      </c>
      <c r="G954">
        <f>E20878+F20878</f>
        <v/>
      </c>
    </row>
    <row r="955">
      <c r="A955" t="inlineStr">
        <is>
          <t>36878775</t>
        </is>
      </c>
      <c r="B955" t="inlineStr">
        <is>
          <t>PRODUCTO 37E2D3</t>
        </is>
      </c>
      <c r="C955" t="inlineStr">
        <is>
          <t>Piura</t>
        </is>
      </c>
      <c r="D955" t="inlineStr">
        <is>
          <t>30/08/2026</t>
        </is>
      </c>
      <c r="E955" t="n">
        <v>10</v>
      </c>
      <c r="F955" t="n">
        <v>0</v>
      </c>
      <c r="G955">
        <f>E20886+F20886</f>
        <v/>
      </c>
    </row>
    <row r="956">
      <c r="A956" t="inlineStr">
        <is>
          <t>36896421</t>
        </is>
      </c>
      <c r="B956" t="inlineStr">
        <is>
          <t>PRODUCTO FC4316</t>
        </is>
      </c>
      <c r="C956" t="inlineStr">
        <is>
          <t>Jockey Plaza</t>
        </is>
      </c>
      <c r="D956" t="inlineStr">
        <is>
          <t>30/08/2026</t>
        </is>
      </c>
      <c r="E956" t="n">
        <v>6</v>
      </c>
      <c r="F956" t="n">
        <v>0</v>
      </c>
      <c r="G956">
        <f>E20950+F20950</f>
        <v/>
      </c>
    </row>
    <row r="957">
      <c r="A957" t="inlineStr">
        <is>
          <t>36896421</t>
        </is>
      </c>
      <c r="B957" t="inlineStr">
        <is>
          <t>PRODUCTO FC4316</t>
        </is>
      </c>
      <c r="C957" t="inlineStr">
        <is>
          <t>San Miguel</t>
        </is>
      </c>
      <c r="D957" t="inlineStr">
        <is>
          <t>30/08/2026</t>
        </is>
      </c>
      <c r="E957" t="n">
        <v>17</v>
      </c>
      <c r="F957" t="n">
        <v>0</v>
      </c>
      <c r="G957">
        <f>E20951+F20951</f>
        <v/>
      </c>
    </row>
    <row r="958">
      <c r="A958" t="inlineStr">
        <is>
          <t>36896421</t>
        </is>
      </c>
      <c r="B958" t="inlineStr">
        <is>
          <t>PRODUCTO FC4316</t>
        </is>
      </c>
      <c r="C958" t="inlineStr">
        <is>
          <t>Miraflores</t>
        </is>
      </c>
      <c r="D958" t="inlineStr">
        <is>
          <t>30/08/2026</t>
        </is>
      </c>
      <c r="E958" t="n">
        <v>35</v>
      </c>
      <c r="F958" t="n">
        <v>0</v>
      </c>
      <c r="G958">
        <f>E20952+F20952</f>
        <v/>
      </c>
    </row>
    <row r="959">
      <c r="A959" t="inlineStr">
        <is>
          <t>36896421</t>
        </is>
      </c>
      <c r="B959" t="inlineStr">
        <is>
          <t>PRODUCTO FC4316</t>
        </is>
      </c>
      <c r="C959" t="inlineStr">
        <is>
          <t>Salaverry</t>
        </is>
      </c>
      <c r="D959" t="inlineStr">
        <is>
          <t>30/08/2026</t>
        </is>
      </c>
      <c r="E959" t="n">
        <v>23</v>
      </c>
      <c r="F959" t="n">
        <v>0</v>
      </c>
      <c r="G959">
        <f>E20961+F20961</f>
        <v/>
      </c>
    </row>
    <row r="960">
      <c r="A960" t="inlineStr">
        <is>
          <t>36896421</t>
        </is>
      </c>
      <c r="B960" t="inlineStr">
        <is>
          <t>PRODUCTO FC4316</t>
        </is>
      </c>
      <c r="C960" t="inlineStr">
        <is>
          <t>San Borja</t>
        </is>
      </c>
      <c r="D960" t="inlineStr">
        <is>
          <t>30/08/2026</t>
        </is>
      </c>
      <c r="E960" t="n">
        <v>18</v>
      </c>
      <c r="F960" t="n">
        <v>0</v>
      </c>
      <c r="G960">
        <f>E20962+F20962</f>
        <v/>
      </c>
    </row>
    <row r="961">
      <c r="A961" t="inlineStr">
        <is>
          <t>36896421</t>
        </is>
      </c>
      <c r="B961" t="inlineStr">
        <is>
          <t>PRODUCTO FC4316</t>
        </is>
      </c>
      <c r="C961" t="inlineStr">
        <is>
          <t>Piura</t>
        </is>
      </c>
      <c r="D961" t="inlineStr">
        <is>
          <t>30/08/2026</t>
        </is>
      </c>
      <c r="E961" t="n">
        <v>9</v>
      </c>
      <c r="F961" t="n">
        <v>0</v>
      </c>
      <c r="G961">
        <f>E20970+F20970</f>
        <v/>
      </c>
    </row>
    <row r="962">
      <c r="A962" t="inlineStr">
        <is>
          <t>36900734</t>
        </is>
      </c>
      <c r="B962" t="inlineStr">
        <is>
          <t>PRODUCTO 0DEABF</t>
        </is>
      </c>
      <c r="C962" t="inlineStr">
        <is>
          <t>Jockey Plaza</t>
        </is>
      </c>
      <c r="D962" t="inlineStr">
        <is>
          <t>30/08/2026</t>
        </is>
      </c>
      <c r="E962" t="n">
        <v>152</v>
      </c>
      <c r="F962" t="n">
        <v>0</v>
      </c>
      <c r="G962">
        <f>E21046+F21046</f>
        <v/>
      </c>
    </row>
    <row r="963">
      <c r="A963" t="inlineStr">
        <is>
          <t>36900734</t>
        </is>
      </c>
      <c r="B963" t="inlineStr">
        <is>
          <t>PRODUCTO 0DEABF</t>
        </is>
      </c>
      <c r="C963" t="inlineStr">
        <is>
          <t>San Miguel</t>
        </is>
      </c>
      <c r="D963" t="inlineStr">
        <is>
          <t>30/08/2026</t>
        </is>
      </c>
      <c r="E963" t="n">
        <v>90</v>
      </c>
      <c r="F963" t="n">
        <v>0</v>
      </c>
      <c r="G963">
        <f>E21047+F21047</f>
        <v/>
      </c>
    </row>
    <row r="964">
      <c r="A964" t="inlineStr">
        <is>
          <t>36900734</t>
        </is>
      </c>
      <c r="B964" t="inlineStr">
        <is>
          <t>PRODUCTO 0DEABF</t>
        </is>
      </c>
      <c r="C964" t="inlineStr">
        <is>
          <t>Miraflores</t>
        </is>
      </c>
      <c r="D964" t="inlineStr">
        <is>
          <t>30/08/2026</t>
        </is>
      </c>
      <c r="E964" t="n">
        <v>92</v>
      </c>
      <c r="F964" t="n">
        <v>0</v>
      </c>
      <c r="G964">
        <f>E21048+F21048</f>
        <v/>
      </c>
    </row>
    <row r="965">
      <c r="A965" t="inlineStr">
        <is>
          <t>36900734</t>
        </is>
      </c>
      <c r="B965" t="inlineStr">
        <is>
          <t>PRODUCTO 0DEABF</t>
        </is>
      </c>
      <c r="C965" t="inlineStr">
        <is>
          <t>Salaverry</t>
        </is>
      </c>
      <c r="D965" t="inlineStr">
        <is>
          <t>30/08/2026</t>
        </is>
      </c>
      <c r="E965" t="n">
        <v>70</v>
      </c>
      <c r="F965" t="n">
        <v>0</v>
      </c>
      <c r="G965">
        <f>E21057+F21057</f>
        <v/>
      </c>
    </row>
    <row r="966">
      <c r="A966" t="inlineStr">
        <is>
          <t>36900734</t>
        </is>
      </c>
      <c r="B966" t="inlineStr">
        <is>
          <t>PRODUCTO 0DEABF</t>
        </is>
      </c>
      <c r="C966" t="inlineStr">
        <is>
          <t>San Borja</t>
        </is>
      </c>
      <c r="D966" t="inlineStr">
        <is>
          <t>30/08/2026</t>
        </is>
      </c>
      <c r="E966" t="n">
        <v>81</v>
      </c>
      <c r="F966" t="n">
        <v>0</v>
      </c>
      <c r="G966">
        <f>E21058+F21058</f>
        <v/>
      </c>
    </row>
    <row r="967">
      <c r="A967" t="inlineStr">
        <is>
          <t>36900734</t>
        </is>
      </c>
      <c r="B967" t="inlineStr">
        <is>
          <t>PRODUCTO 0DEABF</t>
        </is>
      </c>
      <c r="C967" t="inlineStr">
        <is>
          <t>Piura</t>
        </is>
      </c>
      <c r="D967" t="inlineStr">
        <is>
          <t>30/08/2026</t>
        </is>
      </c>
      <c r="E967" t="n">
        <v>130</v>
      </c>
      <c r="F967" t="n">
        <v>0</v>
      </c>
      <c r="G967">
        <f>E21066+F21066</f>
        <v/>
      </c>
    </row>
    <row r="968">
      <c r="A968" t="inlineStr">
        <is>
          <t>36900747</t>
        </is>
      </c>
      <c r="B968" t="inlineStr">
        <is>
          <t>PRODUCTO D0D651</t>
        </is>
      </c>
      <c r="C968" t="inlineStr">
        <is>
          <t>Jockey Plaza</t>
        </is>
      </c>
      <c r="D968" t="inlineStr">
        <is>
          <t>30/08/2026</t>
        </is>
      </c>
      <c r="E968" t="n">
        <v>75</v>
      </c>
      <c r="F968" t="n">
        <v>0</v>
      </c>
      <c r="G968">
        <f>E21077+F21077</f>
        <v/>
      </c>
    </row>
    <row r="969">
      <c r="A969" t="inlineStr">
        <is>
          <t>36900747</t>
        </is>
      </c>
      <c r="B969" t="inlineStr">
        <is>
          <t>PRODUCTO D0D651</t>
        </is>
      </c>
      <c r="C969" t="inlineStr">
        <is>
          <t>San Miguel</t>
        </is>
      </c>
      <c r="D969" t="inlineStr">
        <is>
          <t>30/08/2026</t>
        </is>
      </c>
      <c r="E969" t="n">
        <v>66</v>
      </c>
      <c r="F969" t="n">
        <v>0</v>
      </c>
      <c r="G969">
        <f>E21078+F21078</f>
        <v/>
      </c>
    </row>
    <row r="970">
      <c r="A970" t="inlineStr">
        <is>
          <t>36900747</t>
        </is>
      </c>
      <c r="B970" t="inlineStr">
        <is>
          <t>PRODUCTO D0D651</t>
        </is>
      </c>
      <c r="C970" t="inlineStr">
        <is>
          <t>Miraflores</t>
        </is>
      </c>
      <c r="D970" t="inlineStr">
        <is>
          <t>30/08/2026</t>
        </is>
      </c>
      <c r="E970" t="n">
        <v>75</v>
      </c>
      <c r="F970" t="n">
        <v>0</v>
      </c>
      <c r="G970">
        <f>E21079+F21079</f>
        <v/>
      </c>
    </row>
    <row r="971">
      <c r="A971" t="inlineStr">
        <is>
          <t>36900747</t>
        </is>
      </c>
      <c r="B971" t="inlineStr">
        <is>
          <t>PRODUCTO D0D651</t>
        </is>
      </c>
      <c r="C971" t="inlineStr">
        <is>
          <t>Salaverry</t>
        </is>
      </c>
      <c r="D971" t="inlineStr">
        <is>
          <t>30/08/2026</t>
        </is>
      </c>
      <c r="E971" t="n">
        <v>70</v>
      </c>
      <c r="F971" t="n">
        <v>0</v>
      </c>
      <c r="G971">
        <f>E21088+F21088</f>
        <v/>
      </c>
    </row>
    <row r="972">
      <c r="A972" t="inlineStr">
        <is>
          <t>36900747</t>
        </is>
      </c>
      <c r="B972" t="inlineStr">
        <is>
          <t>PRODUCTO D0D651</t>
        </is>
      </c>
      <c r="C972" t="inlineStr">
        <is>
          <t>San Borja</t>
        </is>
      </c>
      <c r="D972" t="inlineStr">
        <is>
          <t>30/08/2026</t>
        </is>
      </c>
      <c r="E972" t="n">
        <v>78</v>
      </c>
      <c r="F972" t="n">
        <v>0</v>
      </c>
      <c r="G972">
        <f>E21089+F21089</f>
        <v/>
      </c>
    </row>
    <row r="973">
      <c r="A973" t="inlineStr">
        <is>
          <t>36900747</t>
        </is>
      </c>
      <c r="B973" t="inlineStr">
        <is>
          <t>PRODUCTO D0D651</t>
        </is>
      </c>
      <c r="C973" t="inlineStr">
        <is>
          <t>Piura</t>
        </is>
      </c>
      <c r="D973" t="inlineStr">
        <is>
          <t>30/08/2026</t>
        </is>
      </c>
      <c r="E973" t="n">
        <v>96</v>
      </c>
      <c r="F973" t="n">
        <v>0</v>
      </c>
      <c r="G973">
        <f>E21097+F21097</f>
        <v/>
      </c>
    </row>
    <row r="974">
      <c r="A974" t="inlineStr">
        <is>
          <t>37140364</t>
        </is>
      </c>
      <c r="B974" t="inlineStr">
        <is>
          <t>PRODUCTO F62A77</t>
        </is>
      </c>
      <c r="C974" t="inlineStr">
        <is>
          <t>Jockey Plaza</t>
        </is>
      </c>
      <c r="D974" t="inlineStr">
        <is>
          <t>30/08/2026</t>
        </is>
      </c>
      <c r="E974" t="n">
        <v>9</v>
      </c>
      <c r="F974" t="n">
        <v>0</v>
      </c>
      <c r="G974">
        <f>E21177+F21177</f>
        <v/>
      </c>
    </row>
    <row r="975">
      <c r="A975" t="inlineStr">
        <is>
          <t>37140364</t>
        </is>
      </c>
      <c r="B975" t="inlineStr">
        <is>
          <t>PRODUCTO F62A77</t>
        </is>
      </c>
      <c r="C975" t="inlineStr">
        <is>
          <t>San Miguel</t>
        </is>
      </c>
      <c r="D975" t="inlineStr">
        <is>
          <t>30/08/2026</t>
        </is>
      </c>
      <c r="E975" t="n">
        <v>8</v>
      </c>
      <c r="F975" t="n">
        <v>0</v>
      </c>
      <c r="G975">
        <f>E21178+F21178</f>
        <v/>
      </c>
    </row>
    <row r="976">
      <c r="A976" t="inlineStr">
        <is>
          <t>37140364</t>
        </is>
      </c>
      <c r="B976" t="inlineStr">
        <is>
          <t>PRODUCTO F62A77</t>
        </is>
      </c>
      <c r="C976" t="inlineStr">
        <is>
          <t>Miraflores</t>
        </is>
      </c>
      <c r="D976" t="inlineStr">
        <is>
          <t>30/08/2026</t>
        </is>
      </c>
      <c r="E976" t="n">
        <v>8</v>
      </c>
      <c r="F976" t="n">
        <v>0</v>
      </c>
      <c r="G976">
        <f>E21179+F21179</f>
        <v/>
      </c>
    </row>
    <row r="977">
      <c r="A977" t="inlineStr">
        <is>
          <t>37140364</t>
        </is>
      </c>
      <c r="B977" t="inlineStr">
        <is>
          <t>PRODUCTO F62A77</t>
        </is>
      </c>
      <c r="C977" t="inlineStr">
        <is>
          <t>Salaverry</t>
        </is>
      </c>
      <c r="D977" t="inlineStr">
        <is>
          <t>30/08/2026</t>
        </is>
      </c>
      <c r="E977" t="n">
        <v>9</v>
      </c>
      <c r="F977" t="n">
        <v>0</v>
      </c>
      <c r="G977">
        <f>E21188+F21188</f>
        <v/>
      </c>
    </row>
    <row r="978">
      <c r="A978" t="inlineStr">
        <is>
          <t>37140364</t>
        </is>
      </c>
      <c r="B978" t="inlineStr">
        <is>
          <t>PRODUCTO F62A77</t>
        </is>
      </c>
      <c r="C978" t="inlineStr">
        <is>
          <t>San Borja</t>
        </is>
      </c>
      <c r="D978" t="inlineStr">
        <is>
          <t>30/08/2026</t>
        </is>
      </c>
      <c r="E978" t="n">
        <v>8</v>
      </c>
      <c r="F978" t="n">
        <v>0</v>
      </c>
      <c r="G978">
        <f>E21189+F21189</f>
        <v/>
      </c>
    </row>
    <row r="979">
      <c r="A979" t="inlineStr">
        <is>
          <t>37140364</t>
        </is>
      </c>
      <c r="B979" t="inlineStr">
        <is>
          <t>PRODUCTO F62A77</t>
        </is>
      </c>
      <c r="C979" t="inlineStr">
        <is>
          <t>Piura</t>
        </is>
      </c>
      <c r="D979" t="inlineStr">
        <is>
          <t>30/08/2026</t>
        </is>
      </c>
      <c r="E979" t="n">
        <v>9</v>
      </c>
      <c r="F979" t="n">
        <v>0</v>
      </c>
      <c r="G979">
        <f>E21197+F21197</f>
        <v/>
      </c>
    </row>
    <row r="980">
      <c r="A980" t="inlineStr">
        <is>
          <t>37176688</t>
        </is>
      </c>
      <c r="B980" t="inlineStr">
        <is>
          <t>PRODUCTO 4CF46A</t>
        </is>
      </c>
      <c r="C980" t="inlineStr">
        <is>
          <t>Jockey Plaza</t>
        </is>
      </c>
      <c r="D980" t="inlineStr">
        <is>
          <t>30/08/2026</t>
        </is>
      </c>
      <c r="E980" t="n">
        <v>53</v>
      </c>
      <c r="F980" t="n">
        <v>0</v>
      </c>
      <c r="G980">
        <f>E21298+F21298</f>
        <v/>
      </c>
    </row>
    <row r="981">
      <c r="A981" t="inlineStr">
        <is>
          <t>37176688</t>
        </is>
      </c>
      <c r="B981" t="inlineStr">
        <is>
          <t>PRODUCTO 4CF46A</t>
        </is>
      </c>
      <c r="C981" t="inlineStr">
        <is>
          <t>San Miguel</t>
        </is>
      </c>
      <c r="D981" t="inlineStr">
        <is>
          <t>30/08/2026</t>
        </is>
      </c>
      <c r="E981" t="n">
        <v>46</v>
      </c>
      <c r="F981" t="n">
        <v>0</v>
      </c>
      <c r="G981">
        <f>E21299+F21299</f>
        <v/>
      </c>
    </row>
    <row r="982">
      <c r="A982" t="inlineStr">
        <is>
          <t>37176688</t>
        </is>
      </c>
      <c r="B982" t="inlineStr">
        <is>
          <t>PRODUCTO 4CF46A</t>
        </is>
      </c>
      <c r="C982" t="inlineStr">
        <is>
          <t>Miraflores</t>
        </is>
      </c>
      <c r="D982" t="inlineStr">
        <is>
          <t>30/08/2026</t>
        </is>
      </c>
      <c r="E982" t="n">
        <v>64</v>
      </c>
      <c r="F982" t="n">
        <v>0</v>
      </c>
      <c r="G982">
        <f>E21300+F21300</f>
        <v/>
      </c>
    </row>
    <row r="983">
      <c r="A983" t="inlineStr">
        <is>
          <t>37176688</t>
        </is>
      </c>
      <c r="B983" t="inlineStr">
        <is>
          <t>PRODUCTO 4CF46A</t>
        </is>
      </c>
      <c r="C983" t="inlineStr">
        <is>
          <t>Salaverry</t>
        </is>
      </c>
      <c r="D983" t="inlineStr">
        <is>
          <t>30/08/2026</t>
        </is>
      </c>
      <c r="E983" t="n">
        <v>57</v>
      </c>
      <c r="F983" t="n">
        <v>0</v>
      </c>
      <c r="G983">
        <f>E21309+F21309</f>
        <v/>
      </c>
    </row>
    <row r="984">
      <c r="A984" t="inlineStr">
        <is>
          <t>37176688</t>
        </is>
      </c>
      <c r="B984" t="inlineStr">
        <is>
          <t>PRODUCTO 4CF46A</t>
        </is>
      </c>
      <c r="C984" t="inlineStr">
        <is>
          <t>San Borja</t>
        </is>
      </c>
      <c r="D984" t="inlineStr">
        <is>
          <t>30/08/2026</t>
        </is>
      </c>
      <c r="E984" t="n">
        <v>61</v>
      </c>
      <c r="F984" t="n">
        <v>0</v>
      </c>
      <c r="G984">
        <f>E21310+F21310</f>
        <v/>
      </c>
    </row>
    <row r="985">
      <c r="A985" t="inlineStr">
        <is>
          <t>37176688</t>
        </is>
      </c>
      <c r="B985" t="inlineStr">
        <is>
          <t>PRODUCTO 4CF46A</t>
        </is>
      </c>
      <c r="C985" t="inlineStr">
        <is>
          <t>Piura</t>
        </is>
      </c>
      <c r="D985" t="inlineStr">
        <is>
          <t>30/08/2026</t>
        </is>
      </c>
      <c r="E985" t="n">
        <v>59</v>
      </c>
      <c r="F985" t="n">
        <v>0</v>
      </c>
      <c r="G985">
        <f>E21318+F21318</f>
        <v/>
      </c>
    </row>
    <row r="986">
      <c r="A986" t="inlineStr">
        <is>
          <t>37306753</t>
        </is>
      </c>
      <c r="B986" t="inlineStr">
        <is>
          <t>PRODUCTO 13466C</t>
        </is>
      </c>
      <c r="C986" t="inlineStr">
        <is>
          <t>Jockey Plaza</t>
        </is>
      </c>
      <c r="D986" t="inlineStr">
        <is>
          <t>30/08/2026</t>
        </is>
      </c>
      <c r="E986" t="n">
        <v>39</v>
      </c>
      <c r="F986" t="n">
        <v>0</v>
      </c>
      <c r="G986">
        <f>E21584+F21584</f>
        <v/>
      </c>
    </row>
    <row r="987">
      <c r="A987" t="inlineStr">
        <is>
          <t>37306753</t>
        </is>
      </c>
      <c r="B987" t="inlineStr">
        <is>
          <t>PRODUCTO 13466C</t>
        </is>
      </c>
      <c r="C987" t="inlineStr">
        <is>
          <t>San Miguel</t>
        </is>
      </c>
      <c r="D987" t="inlineStr">
        <is>
          <t>30/08/2026</t>
        </is>
      </c>
      <c r="E987" t="n">
        <v>25</v>
      </c>
      <c r="F987" t="n">
        <v>0</v>
      </c>
      <c r="G987">
        <f>E21585+F21585</f>
        <v/>
      </c>
    </row>
    <row r="988">
      <c r="A988" t="inlineStr">
        <is>
          <t>37306753</t>
        </is>
      </c>
      <c r="B988" t="inlineStr">
        <is>
          <t>PRODUCTO 13466C</t>
        </is>
      </c>
      <c r="C988" t="inlineStr">
        <is>
          <t>Miraflores</t>
        </is>
      </c>
      <c r="D988" t="inlineStr">
        <is>
          <t>30/08/2026</t>
        </is>
      </c>
      <c r="E988" t="n">
        <v>22</v>
      </c>
      <c r="F988" t="n">
        <v>0</v>
      </c>
      <c r="G988">
        <f>E21586+F21586</f>
        <v/>
      </c>
    </row>
    <row r="989">
      <c r="A989" t="inlineStr">
        <is>
          <t>37306753</t>
        </is>
      </c>
      <c r="B989" t="inlineStr">
        <is>
          <t>PRODUCTO 13466C</t>
        </is>
      </c>
      <c r="C989" t="inlineStr">
        <is>
          <t>Salaverry</t>
        </is>
      </c>
      <c r="D989" t="inlineStr">
        <is>
          <t>30/08/2026</t>
        </is>
      </c>
      <c r="E989" t="n">
        <v>34</v>
      </c>
      <c r="F989" t="n">
        <v>0</v>
      </c>
      <c r="G989">
        <f>E21591+F21591</f>
        <v/>
      </c>
    </row>
    <row r="990">
      <c r="A990" t="inlineStr">
        <is>
          <t>37306753</t>
        </is>
      </c>
      <c r="B990" t="inlineStr">
        <is>
          <t>PRODUCTO 13466C</t>
        </is>
      </c>
      <c r="C990" t="inlineStr">
        <is>
          <t>San Borja</t>
        </is>
      </c>
      <c r="D990" t="inlineStr">
        <is>
          <t>30/08/2026</t>
        </is>
      </c>
      <c r="E990" t="n">
        <v>21</v>
      </c>
      <c r="F990" t="n">
        <v>0</v>
      </c>
      <c r="G990">
        <f>E21592+F21592</f>
        <v/>
      </c>
    </row>
    <row r="991">
      <c r="A991" t="inlineStr">
        <is>
          <t>37307097</t>
        </is>
      </c>
      <c r="B991" t="inlineStr">
        <is>
          <t>PRODUCTO 740E53</t>
        </is>
      </c>
      <c r="C991" t="inlineStr">
        <is>
          <t>Jockey Plaza</t>
        </is>
      </c>
      <c r="D991" t="inlineStr">
        <is>
          <t>30/08/2026</t>
        </is>
      </c>
      <c r="E991" t="n">
        <v>6</v>
      </c>
      <c r="F991" t="n">
        <v>0</v>
      </c>
      <c r="G991">
        <f>E21624+F21624</f>
        <v/>
      </c>
    </row>
    <row r="992">
      <c r="A992" t="inlineStr">
        <is>
          <t>37307097</t>
        </is>
      </c>
      <c r="B992" t="inlineStr">
        <is>
          <t>PRODUCTO 740E53</t>
        </is>
      </c>
      <c r="C992" t="inlineStr">
        <is>
          <t>San Miguel</t>
        </is>
      </c>
      <c r="D992" t="inlineStr">
        <is>
          <t>30/08/2026</t>
        </is>
      </c>
      <c r="E992" t="n">
        <v>13</v>
      </c>
      <c r="F992" t="n">
        <v>0</v>
      </c>
      <c r="G992">
        <f>E21625+F21625</f>
        <v/>
      </c>
    </row>
    <row r="993">
      <c r="A993" t="inlineStr">
        <is>
          <t>37307097</t>
        </is>
      </c>
      <c r="B993" t="inlineStr">
        <is>
          <t>PRODUCTO 740E53</t>
        </is>
      </c>
      <c r="C993" t="inlineStr">
        <is>
          <t>Miraflores</t>
        </is>
      </c>
      <c r="D993" t="inlineStr">
        <is>
          <t>30/08/2026</t>
        </is>
      </c>
      <c r="E993" t="n">
        <v>12</v>
      </c>
      <c r="F993" t="n">
        <v>0</v>
      </c>
      <c r="G993">
        <f>E21626+F21626</f>
        <v/>
      </c>
    </row>
    <row r="994">
      <c r="A994" t="inlineStr">
        <is>
          <t>37307097</t>
        </is>
      </c>
      <c r="B994" t="inlineStr">
        <is>
          <t>PRODUCTO 740E53</t>
        </is>
      </c>
      <c r="C994" t="inlineStr">
        <is>
          <t>Salaverry</t>
        </is>
      </c>
      <c r="D994" t="inlineStr">
        <is>
          <t>30/08/2026</t>
        </is>
      </c>
      <c r="E994" t="n">
        <v>17</v>
      </c>
      <c r="F994" t="n">
        <v>0</v>
      </c>
      <c r="G994">
        <f>E21633+F21633</f>
        <v/>
      </c>
    </row>
    <row r="995">
      <c r="A995" t="inlineStr">
        <is>
          <t>37307097</t>
        </is>
      </c>
      <c r="B995" t="inlineStr">
        <is>
          <t>PRODUCTO 740E53</t>
        </is>
      </c>
      <c r="C995" t="inlineStr">
        <is>
          <t>San Borja</t>
        </is>
      </c>
      <c r="D995" t="inlineStr">
        <is>
          <t>30/08/2026</t>
        </is>
      </c>
      <c r="E995" t="n">
        <v>11</v>
      </c>
      <c r="F995" t="n">
        <v>0</v>
      </c>
      <c r="G995">
        <f>E21634+F21634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2026-09-05T23:46:07Z</dcterms:created>
  <dcterms:modified xmlns:dcterms="http://purl.org/dc/terms/" xmlns:xsi="http://www.w3.org/2001/XMLSchema-instance" xsi:type="dcterms:W3CDTF">2026-09-05T23:49:20Z</dcterms:modified>
</cp:coreProperties>
</file>